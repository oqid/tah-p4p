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uoa.sharepoint.com/sites/RNSharmaResearchGroup-P4P202669ArtificialHeart/Shared Documents/P4P 2026 69 Artificial Heart/Mikaela's IPT files/Assembly Area/3D 50cc STP Files/"/>
    </mc:Choice>
  </mc:AlternateContent>
  <xr:revisionPtr revIDLastSave="738" documentId="13_ncr:1_{B674727A-48F6-4249-B13B-66266C5A5F28}" xr6:coauthVersionLast="47" xr6:coauthVersionMax="47" xr10:uidLastSave="{CAA73FC9-C3EB-4975-95CB-E4EB7F1261C0}"/>
  <bookViews>
    <workbookView xWindow="-108" yWindow="-108" windowWidth="23256" windowHeight="12456" activeTab="3" xr2:uid="{00000000-000D-0000-FFFF-FFFF00000000}"/>
  </bookViews>
  <sheets>
    <sheet name="y+ calculator" sheetId="1" r:id="rId1"/>
    <sheet name="Inflation height calculator" sheetId="2" state="hidden" r:id="rId2"/>
    <sheet name="2D Base Ref" sheetId="3" r:id="rId3"/>
    <sheet name="3D Mesh Analysi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4" l="1"/>
  <c r="E52" i="4"/>
  <c r="C52" i="4"/>
  <c r="D51" i="4"/>
  <c r="E51" i="4"/>
  <c r="C51" i="4"/>
  <c r="E46" i="4"/>
  <c r="D46" i="4"/>
  <c r="C46" i="4"/>
  <c r="C42" i="4"/>
  <c r="C40" i="4"/>
  <c r="C39" i="4"/>
  <c r="C38" i="4"/>
  <c r="C37" i="4"/>
  <c r="D12" i="4"/>
  <c r="E13" i="4"/>
  <c r="J12" i="3"/>
  <c r="J8" i="3"/>
  <c r="E44" i="3"/>
  <c r="F44" i="3"/>
  <c r="G44" i="3"/>
  <c r="H44" i="3"/>
  <c r="I44" i="3"/>
  <c r="D44" i="3"/>
  <c r="E52" i="3"/>
  <c r="E53" i="3" s="1"/>
  <c r="E51" i="3"/>
  <c r="E50" i="3"/>
  <c r="D53" i="3"/>
  <c r="D52" i="3"/>
  <c r="D51" i="3"/>
  <c r="D50" i="3"/>
  <c r="D55" i="3" s="1"/>
  <c r="C53" i="3"/>
  <c r="C55" i="3" s="1"/>
  <c r="C52" i="3"/>
  <c r="C51" i="3"/>
  <c r="C50" i="3"/>
  <c r="F12" i="4"/>
  <c r="F13" i="4" s="1"/>
  <c r="D13" i="4" l="1"/>
  <c r="E55" i="3"/>
  <c r="I84" i="3"/>
  <c r="F84" i="3"/>
  <c r="G84" i="3"/>
  <c r="H84" i="3"/>
  <c r="D84" i="3"/>
  <c r="E84" i="3"/>
  <c r="A21" i="2" l="1"/>
  <c r="B21" i="2" s="1"/>
  <c r="F21" i="2" s="1"/>
  <c r="A20" i="2"/>
  <c r="B20" i="2" s="1"/>
  <c r="F20" i="2" s="1"/>
  <c r="I15" i="3"/>
  <c r="I14" i="3"/>
  <c r="I11" i="3"/>
  <c r="I10" i="3"/>
  <c r="A19" i="2"/>
  <c r="I8" i="3" s="1"/>
  <c r="A18" i="2"/>
  <c r="I12" i="3" s="1"/>
  <c r="B18" i="2"/>
  <c r="F18" i="2" s="1"/>
  <c r="I13" i="3" s="1"/>
  <c r="B17" i="2"/>
  <c r="F17" i="2" s="1"/>
  <c r="B16" i="2"/>
  <c r="F16" i="2" s="1"/>
  <c r="B14" i="2"/>
  <c r="F14" i="2" s="1"/>
  <c r="D3" i="2"/>
  <c r="E3" i="2"/>
  <c r="G3" i="2" s="1"/>
  <c r="E2" i="2"/>
  <c r="G2" i="2" s="1"/>
  <c r="D2" i="2"/>
  <c r="D6" i="1"/>
  <c r="C6" i="1"/>
  <c r="B6" i="1"/>
  <c r="F2" i="1"/>
  <c r="I2" i="1" s="1"/>
  <c r="A22" i="2" l="1"/>
  <c r="B22" i="2" s="1"/>
  <c r="F22" i="2" s="1"/>
  <c r="A24" i="2"/>
  <c r="A23" i="2"/>
  <c r="B19" i="2"/>
  <c r="F19" i="2" s="1"/>
  <c r="I9" i="3" s="1"/>
  <c r="B23" i="2" l="1"/>
  <c r="F23" i="2" s="1"/>
  <c r="A25" i="2"/>
  <c r="B24" i="2"/>
  <c r="F24" i="2" s="1"/>
  <c r="A26" i="2"/>
  <c r="B26" i="2" s="1"/>
  <c r="F26" i="2" s="1"/>
  <c r="A27" i="2" l="1"/>
  <c r="B27" i="2" s="1"/>
  <c r="F27" i="2" s="1"/>
  <c r="B25" i="2"/>
  <c r="F25" i="2" s="1"/>
</calcChain>
</file>

<file path=xl/sharedStrings.xml><?xml version="1.0" encoding="utf-8"?>
<sst xmlns="http://schemas.openxmlformats.org/spreadsheetml/2006/main" count="186" uniqueCount="113">
  <si>
    <t>Reynolds number, Re</t>
  </si>
  <si>
    <t xml:space="preserve">Boundary layer thickness, </t>
  </si>
  <si>
    <t>deltaY1</t>
  </si>
  <si>
    <t>Actual Y+</t>
  </si>
  <si>
    <t>Span, L, (m)</t>
  </si>
  <si>
    <t>MaxVelocity, V, (m/s)</t>
  </si>
  <si>
    <t>Dynamic viscosity, mu, (Pa.s)</t>
  </si>
  <si>
    <t>Density, p, (kg/m^3)</t>
  </si>
  <si>
    <t>Sim Name</t>
  </si>
  <si>
    <t>Mesh 1, Simulation 1 - Final 2D 50c</t>
  </si>
  <si>
    <t>NOTE: This is the initial simulation, will use 'actual Y+</t>
  </si>
  <si>
    <t>y+ (wanted)</t>
  </si>
  <si>
    <t>Actual Y+ (max)</t>
  </si>
  <si>
    <t xml:space="preserve">Calculating new DeltaY1 </t>
  </si>
  <si>
    <t>Old Delta Y1</t>
  </si>
  <si>
    <t>new delta Y1</t>
  </si>
  <si>
    <t>Global element size</t>
  </si>
  <si>
    <t>Growth Rate
(r)</t>
  </si>
  <si>
    <t>layer number (n)</t>
  </si>
  <si>
    <t>Height of layer number 
(h_n)</t>
  </si>
  <si>
    <t>First Layer Height
(h_1), m</t>
  </si>
  <si>
    <t>Total inflation thickness or Sum of Layers
(h_total), m</t>
  </si>
  <si>
    <t>Element Size</t>
  </si>
  <si>
    <t>Element size</t>
  </si>
  <si>
    <t>growth rate ®</t>
  </si>
  <si>
    <t>number of layers (n)</t>
  </si>
  <si>
    <t>First layer height (h_1)</t>
  </si>
  <si>
    <t xml:space="preserve">VALVE </t>
  </si>
  <si>
    <t>GLOBAL</t>
  </si>
  <si>
    <t>yplusval</t>
  </si>
  <si>
    <t>YplusMax</t>
  </si>
  <si>
    <t>WallShearMax</t>
  </si>
  <si>
    <t>Pa</t>
  </si>
  <si>
    <t>WallShearAvg</t>
  </si>
  <si>
    <t>VelocityAvg</t>
  </si>
  <si>
    <t>m s^-1</t>
  </si>
  <si>
    <t>VelocityMax</t>
  </si>
  <si>
    <t>PressureAvg</t>
  </si>
  <si>
    <t>PressureMax</t>
  </si>
  <si>
    <t>Mesh Elements</t>
  </si>
  <si>
    <t>BASE</t>
  </si>
  <si>
    <t>Results</t>
  </si>
  <si>
    <t>Global</t>
  </si>
  <si>
    <t>First Layer Height</t>
  </si>
  <si>
    <t>Maximum Layer</t>
  </si>
  <si>
    <t>Growth Rate</t>
  </si>
  <si>
    <t>Local Refinement</t>
  </si>
  <si>
    <t>m</t>
  </si>
  <si>
    <t>Refinement Ratio</t>
  </si>
  <si>
    <t>Ref +1</t>
  </si>
  <si>
    <t>Sim Duration</t>
  </si>
  <si>
    <t>mins:secs</t>
  </si>
  <si>
    <t>40:37</t>
  </si>
  <si>
    <t>Coarse + 1</t>
  </si>
  <si>
    <t>12:10</t>
  </si>
  <si>
    <t>Coarse + 2</t>
  </si>
  <si>
    <t>10:30</t>
  </si>
  <si>
    <t>Coarse + 3</t>
  </si>
  <si>
    <t>7:13</t>
  </si>
  <si>
    <t>20</t>
  </si>
  <si>
    <t>Coarse -3</t>
  </si>
  <si>
    <t>Coarse + 4</t>
  </si>
  <si>
    <t>Coarse -4</t>
  </si>
  <si>
    <t xml:space="preserve"> 4:    59.159</t>
  </si>
  <si>
    <t xml:space="preserve"> 2:    35.229</t>
  </si>
  <si>
    <t>No# Nodes</t>
  </si>
  <si>
    <t>Global Element Size</t>
  </si>
  <si>
    <t>Local Element Size</t>
  </si>
  <si>
    <t>Global Inflation</t>
  </si>
  <si>
    <t>Local Inflation</t>
  </si>
  <si>
    <t>Inflation Parameters</t>
  </si>
  <si>
    <t>Grid reduction ratio</t>
  </si>
  <si>
    <t>delta_1</t>
  </si>
  <si>
    <t>delta_2</t>
  </si>
  <si>
    <t>delta_3</t>
  </si>
  <si>
    <t>p</t>
  </si>
  <si>
    <t>where phi = my variable of interest</t>
  </si>
  <si>
    <t>phi_1</t>
  </si>
  <si>
    <t>phi_2</t>
  </si>
  <si>
    <t>phi_3</t>
  </si>
  <si>
    <t>r</t>
  </si>
  <si>
    <t>Coarse 1-3</t>
  </si>
  <si>
    <t>BASE - Coarse 2</t>
  </si>
  <si>
    <t>Ref +1 - Coarse 1</t>
  </si>
  <si>
    <t>There may be errors with the finer meshes, maybe due to element quality at some points that cause an invalid p number</t>
  </si>
  <si>
    <t>Richardson Point</t>
  </si>
  <si>
    <t>Processed No# Nodes</t>
  </si>
  <si>
    <t>Step 4 - find convergence errors of the various mesh, using the following equation</t>
  </si>
  <si>
    <t>Convergence error %</t>
  </si>
  <si>
    <t>NOTE: Might need to do one more sim ( Ref +2)?</t>
  </si>
  <si>
    <t>Ref +2</t>
  </si>
  <si>
    <t>BASE 3D 50cc</t>
  </si>
  <si>
    <t>BASE +1 REF</t>
  </si>
  <si>
    <t>BASE -1 coarse</t>
  </si>
  <si>
    <t>Mesh Nodes</t>
  </si>
  <si>
    <t>VelocityMax3D</t>
  </si>
  <si>
    <t>VelocityAvg3D</t>
  </si>
  <si>
    <t>PressureAvg3D</t>
  </si>
  <si>
    <t>PressureMax3D</t>
  </si>
  <si>
    <t>WallShearAvg3D</t>
  </si>
  <si>
    <t>WallShearMax3D</t>
  </si>
  <si>
    <t>YplusMax3D</t>
  </si>
  <si>
    <t>YplusAvg3D</t>
  </si>
  <si>
    <t>(Max Velocity)</t>
  </si>
  <si>
    <t>Richardson Extrapolation</t>
  </si>
  <si>
    <t>4 hours</t>
  </si>
  <si>
    <t>49 hours</t>
  </si>
  <si>
    <t>Sim Time</t>
  </si>
  <si>
    <t>Coarse</t>
  </si>
  <si>
    <t>Base</t>
  </si>
  <si>
    <t>Fine</t>
  </si>
  <si>
    <t>Convergence Error %</t>
  </si>
  <si>
    <t>Processed Nodes#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</si>
</sst>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49" fontId="0" fillId="0" borderId="0" xfId="0" applyNumberFormat="1" applyAlignment="1">
      <alignment horizontal="righ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1" xfId="0" applyBorder="1" applyAlignment="1">
      <alignment wrapText="1"/>
    </xf>
    <xf numFmtId="49" fontId="0" fillId="0" borderId="0" xfId="0" applyNumberFormat="1" applyAlignment="1">
      <alignment horizontal="right" wrapText="1"/>
    </xf>
    <xf numFmtId="49" fontId="0" fillId="0" borderId="14" xfId="0" applyNumberFormat="1" applyBorder="1" applyAlignment="1">
      <alignment horizontal="right"/>
    </xf>
    <xf numFmtId="49" fontId="0" fillId="0" borderId="0" xfId="0" applyNumberFormat="1" applyAlignment="1">
      <alignment horizontal="center" wrapText="1"/>
    </xf>
    <xf numFmtId="47" fontId="0" fillId="0" borderId="0" xfId="0" applyNumberFormat="1"/>
    <xf numFmtId="0" fontId="0" fillId="0" borderId="9" xfId="0" applyBorder="1"/>
    <xf numFmtId="0" fontId="0" fillId="0" borderId="25" xfId="0" applyBorder="1"/>
    <xf numFmtId="0" fontId="0" fillId="0" borderId="26" xfId="0" applyBorder="1"/>
    <xf numFmtId="0" fontId="0" fillId="0" borderId="11" xfId="0" applyBorder="1"/>
    <xf numFmtId="0" fontId="0" fillId="0" borderId="27" xfId="0" applyBorder="1"/>
    <xf numFmtId="47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33" xfId="0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0" xfId="0" applyFill="1" applyAlignment="1">
      <alignment wrapText="1"/>
    </xf>
    <xf numFmtId="0" fontId="0" fillId="2" borderId="16" xfId="0" applyFill="1" applyBorder="1"/>
    <xf numFmtId="0" fontId="0" fillId="2" borderId="0" xfId="0" applyFill="1"/>
    <xf numFmtId="0" fontId="0" fillId="3" borderId="0" xfId="0" applyFill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/>
    <xf numFmtId="0" fontId="0" fillId="0" borderId="34" xfId="0" applyBorder="1" applyAlignment="1">
      <alignment wrapText="1"/>
    </xf>
    <xf numFmtId="0" fontId="0" fillId="0" borderId="35" xfId="0" applyBorder="1" applyAlignment="1">
      <alignment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0" fillId="4" borderId="8" xfId="0" applyFill="1" applyBorder="1"/>
    <xf numFmtId="0" fontId="0" fillId="4" borderId="9" xfId="0" applyFill="1" applyBorder="1"/>
    <xf numFmtId="0" fontId="0" fillId="3" borderId="25" xfId="0" applyFill="1" applyBorder="1"/>
    <xf numFmtId="0" fontId="0" fillId="0" borderId="21" xfId="0" applyBorder="1"/>
    <xf numFmtId="0" fontId="0" fillId="0" borderId="10" xfId="0" applyBorder="1"/>
    <xf numFmtId="0" fontId="0" fillId="0" borderId="1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4" xfId="0" applyBorder="1"/>
    <xf numFmtId="0" fontId="0" fillId="0" borderId="13" xfId="0" applyBorder="1"/>
    <xf numFmtId="0" fontId="0" fillId="0" borderId="13" xfId="0" applyBorder="1" applyAlignment="1">
      <alignment wrapText="1"/>
    </xf>
    <xf numFmtId="0" fontId="0" fillId="0" borderId="8" xfId="0" applyBorder="1"/>
    <xf numFmtId="0" fontId="0" fillId="0" borderId="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5" borderId="21" xfId="0" applyFill="1" applyBorder="1"/>
    <xf numFmtId="0" fontId="0" fillId="5" borderId="0" xfId="0" applyFill="1"/>
    <xf numFmtId="0" fontId="0" fillId="5" borderId="2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2D 50cc Mesh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668311677081968E-2"/>
          <c:y val="0.11841551498165806"/>
          <c:w val="0.71723775159291892"/>
          <c:h val="0.73261091919590415"/>
        </c:manualLayout>
      </c:layout>
      <c:scatterChart>
        <c:scatterStyle val="lineMarker"/>
        <c:varyColors val="0"/>
        <c:ser>
          <c:idx val="0"/>
          <c:order val="0"/>
          <c:tx>
            <c:v>Velocity Max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'2D Base Ref'!$D$44:$I$44</c:f>
              <c:numCache>
                <c:formatCode>General</c:formatCode>
                <c:ptCount val="6"/>
                <c:pt idx="0">
                  <c:v>65.180550123843048</c:v>
                </c:pt>
                <c:pt idx="1">
                  <c:v>40.286842317299168</c:v>
                </c:pt>
                <c:pt idx="2">
                  <c:v>20.414829332026784</c:v>
                </c:pt>
                <c:pt idx="3">
                  <c:v>11.142806204314496</c:v>
                </c:pt>
                <c:pt idx="4">
                  <c:v>5.5696033328506349</c:v>
                </c:pt>
                <c:pt idx="5">
                  <c:v>2.6360046604562397</c:v>
                </c:pt>
              </c:numCache>
            </c:numRef>
          </c:xVal>
          <c:yVal>
            <c:numRef>
              <c:f>'2D Base Ref'!$D$45:$I$45</c:f>
              <c:numCache>
                <c:formatCode>General</c:formatCode>
                <c:ptCount val="6"/>
                <c:pt idx="0">
                  <c:v>1.6466099999999999</c:v>
                </c:pt>
                <c:pt idx="1">
                  <c:v>1.67414</c:v>
                </c:pt>
                <c:pt idx="2">
                  <c:v>1.71726</c:v>
                </c:pt>
                <c:pt idx="3">
                  <c:v>1.7226699999999999</c:v>
                </c:pt>
                <c:pt idx="4">
                  <c:v>1.73045</c:v>
                </c:pt>
                <c:pt idx="5">
                  <c:v>1.7284600000000001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DC-4CCA-B631-46AD12590449}"/>
            </c:ext>
          </c:extLst>
        </c:ser>
        <c:ser>
          <c:idx val="1"/>
          <c:order val="1"/>
          <c:tx>
            <c:v>Richardson Point (Coarse 1-3)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'2D Base Ref'!$C$55</c:f>
              <c:numCache>
                <c:formatCode>General</c:formatCode>
                <c:ptCount val="1"/>
                <c:pt idx="0">
                  <c:v>1.7234461363033677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DC-4CCA-B631-46AD12590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795215"/>
        <c:axId val="992010255"/>
      </c:scatterChart>
      <c:valAx>
        <c:axId val="153279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1/N (10^-6)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010255"/>
        <c:crosses val="autoZero"/>
        <c:crossBetween val="midCat"/>
      </c:valAx>
      <c:valAx>
        <c:axId val="99201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Velocity Max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795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821601740239891"/>
          <c:y val="0.31681484656385661"/>
          <c:w val="0.17710839400833764"/>
          <c:h val="0.11132064250098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3D 50cc Mesh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Velocity Max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'3D Mesh Analysis'!$C$51:$E$51</c:f>
              <c:numCache>
                <c:formatCode>General</c:formatCode>
                <c:ptCount val="3"/>
                <c:pt idx="0">
                  <c:v>4.2938173324230444</c:v>
                </c:pt>
                <c:pt idx="1">
                  <c:v>0.84249689118647153</c:v>
                </c:pt>
                <c:pt idx="2">
                  <c:v>0.16396614427053102</c:v>
                </c:pt>
              </c:numCache>
            </c:numRef>
          </c:xVal>
          <c:yVal>
            <c:numRef>
              <c:f>'3D Mesh Analysis'!$C$52:$E$52</c:f>
              <c:numCache>
                <c:formatCode>General</c:formatCode>
                <c:ptCount val="3"/>
                <c:pt idx="0">
                  <c:v>2.45723</c:v>
                </c:pt>
                <c:pt idx="1">
                  <c:v>2.53729</c:v>
                </c:pt>
                <c:pt idx="2">
                  <c:v>2.5570499999999998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0F-415A-9CEA-0415E1B49896}"/>
            </c:ext>
          </c:extLst>
        </c:ser>
        <c:ser>
          <c:idx val="1"/>
          <c:order val="1"/>
          <c:tx>
            <c:v>Richardson Extrapolation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'3D Mesh Analysis'!$C$42</c:f>
              <c:numCache>
                <c:formatCode>General</c:formatCode>
                <c:ptCount val="1"/>
                <c:pt idx="0">
                  <c:v>2.5635252504145933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0F-415A-9CEA-0415E1B49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774319"/>
        <c:axId val="1497542735"/>
      </c:scatterChart>
      <c:valAx>
        <c:axId val="161477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1/N (10^-6)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542735"/>
        <c:crosses val="autoZero"/>
        <c:crossBetween val="midCat"/>
      </c:valAx>
      <c:valAx>
        <c:axId val="149754273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Velocity Max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774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2.png"/><Relationship Id="rId5" Type="http://schemas.openxmlformats.org/officeDocument/2006/relationships/chart" Target="../charts/chart2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22</xdr:row>
      <xdr:rowOff>0</xdr:rowOff>
    </xdr:from>
    <xdr:to>
      <xdr:col>7</xdr:col>
      <xdr:colOff>304800</xdr:colOff>
      <xdr:row>23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4E2B83F5-71CA-D8E1-895C-90998B723C58}"/>
            </a:ext>
          </a:extLst>
        </xdr:cNvPr>
        <xdr:cNvSpPr>
          <a:spLocks noChangeAspect="1" noChangeArrowheads="1"/>
        </xdr:cNvSpPr>
      </xdr:nvSpPr>
      <xdr:spPr bwMode="auto">
        <a:xfrm>
          <a:off x="8905875" y="45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171450</xdr:colOff>
      <xdr:row>6</xdr:row>
      <xdr:rowOff>161925</xdr:rowOff>
    </xdr:from>
    <xdr:to>
      <xdr:col>4</xdr:col>
      <xdr:colOff>504825</xdr:colOff>
      <xdr:row>15</xdr:row>
      <xdr:rowOff>62954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8D01D1-D91E-5BD9-D625-0D21BBAEF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685925"/>
          <a:ext cx="6191250" cy="16155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259080</xdr:colOff>
      <xdr:row>6</xdr:row>
      <xdr:rowOff>60960</xdr:rowOff>
    </xdr:from>
    <xdr:to>
      <xdr:col>21</xdr:col>
      <xdr:colOff>221505</xdr:colOff>
      <xdr:row>14</xdr:row>
      <xdr:rowOff>7743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D3A006-6502-40F8-A493-EB9B1998E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09860" y="1165860"/>
          <a:ext cx="6058425" cy="1425063"/>
        </a:xfrm>
        <a:prstGeom prst="rect">
          <a:avLst/>
        </a:prstGeom>
      </xdr:spPr>
    </xdr:pic>
    <xdr:clientData/>
  </xdr:twoCellAnchor>
  <xdr:twoCellAnchor editAs="oneCell">
    <xdr:from>
      <xdr:col>11</xdr:col>
      <xdr:colOff>167969</xdr:colOff>
      <xdr:row>32</xdr:row>
      <xdr:rowOff>147484</xdr:rowOff>
    </xdr:from>
    <xdr:to>
      <xdr:col>20</xdr:col>
      <xdr:colOff>288130</xdr:colOff>
      <xdr:row>43</xdr:row>
      <xdr:rowOff>319550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74CE7C-2E96-F7E1-5A60-3AFD71309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29646" y="3064387"/>
          <a:ext cx="5577065" cy="2163098"/>
        </a:xfrm>
        <a:prstGeom prst="rect">
          <a:avLst/>
        </a:prstGeom>
      </xdr:spPr>
    </xdr:pic>
    <xdr:clientData/>
  </xdr:twoCellAnchor>
  <xdr:twoCellAnchor>
    <xdr:from>
      <xdr:col>1</xdr:col>
      <xdr:colOff>581742</xdr:colOff>
      <xdr:row>58</xdr:row>
      <xdr:rowOff>70464</xdr:rowOff>
    </xdr:from>
    <xdr:to>
      <xdr:col>11</xdr:col>
      <xdr:colOff>81935</xdr:colOff>
      <xdr:row>79</xdr:row>
      <xdr:rowOff>155678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57D758-BF1B-8F7A-8C4C-5DC0C274D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32775</xdr:colOff>
      <xdr:row>56</xdr:row>
      <xdr:rowOff>57355</xdr:rowOff>
    </xdr:from>
    <xdr:to>
      <xdr:col>22</xdr:col>
      <xdr:colOff>319548</xdr:colOff>
      <xdr:row>61</xdr:row>
      <xdr:rowOff>150228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8F093D-83D9-4978-BFF6-056EDD7C5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00775" y="7497097"/>
          <a:ext cx="6349999" cy="994163"/>
        </a:xfrm>
        <a:prstGeom prst="rect">
          <a:avLst/>
        </a:prstGeom>
      </xdr:spPr>
    </xdr:pic>
    <xdr:clientData/>
  </xdr:twoCellAnchor>
  <xdr:twoCellAnchor editAs="oneCell">
    <xdr:from>
      <xdr:col>11</xdr:col>
      <xdr:colOff>302557</xdr:colOff>
      <xdr:row>44</xdr:row>
      <xdr:rowOff>112058</xdr:rowOff>
    </xdr:from>
    <xdr:to>
      <xdr:col>19</xdr:col>
      <xdr:colOff>543778</xdr:colOff>
      <xdr:row>49</xdr:row>
      <xdr:rowOff>11205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C043AE-CBEE-4404-AE13-75F6F2880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15381" y="6073587"/>
          <a:ext cx="5082162" cy="8516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447262</xdr:colOff>
      <xdr:row>0</xdr:row>
      <xdr:rowOff>0</xdr:rowOff>
    </xdr:from>
    <xdr:to>
      <xdr:col>16</xdr:col>
      <xdr:colOff>496957</xdr:colOff>
      <xdr:row>6</xdr:row>
      <xdr:rowOff>27932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715EC9-65BD-447B-9EE6-E85EA5E41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13305" y="0"/>
          <a:ext cx="4953000" cy="1543649"/>
        </a:xfrm>
        <a:prstGeom prst="rect">
          <a:avLst/>
        </a:prstGeom>
      </xdr:spPr>
    </xdr:pic>
    <xdr:clientData/>
  </xdr:twoCellAnchor>
  <xdr:twoCellAnchor editAs="oneCell">
    <xdr:from>
      <xdr:col>8</xdr:col>
      <xdr:colOff>430699</xdr:colOff>
      <xdr:row>26</xdr:row>
      <xdr:rowOff>24848</xdr:rowOff>
    </xdr:from>
    <xdr:to>
      <xdr:col>14</xdr:col>
      <xdr:colOff>213042</xdr:colOff>
      <xdr:row>29</xdr:row>
      <xdr:rowOff>33130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4F1DF-CE7F-4260-B1A2-E042F6B9F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96742" y="3834848"/>
          <a:ext cx="3459821" cy="579782"/>
        </a:xfrm>
        <a:prstGeom prst="rect">
          <a:avLst/>
        </a:prstGeom>
      </xdr:spPr>
    </xdr:pic>
    <xdr:clientData/>
  </xdr:twoCellAnchor>
  <xdr:twoCellAnchor editAs="oneCell">
    <xdr:from>
      <xdr:col>8</xdr:col>
      <xdr:colOff>405849</xdr:colOff>
      <xdr:row>8</xdr:row>
      <xdr:rowOff>66261</xdr:rowOff>
    </xdr:from>
    <xdr:to>
      <xdr:col>15</xdr:col>
      <xdr:colOff>364436</xdr:colOff>
      <xdr:row>25</xdr:row>
      <xdr:rowOff>66416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648354-B485-4AA4-B722-1D8712F32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71892" y="1971261"/>
          <a:ext cx="4248978" cy="1739503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17</xdr:col>
      <xdr:colOff>57977</xdr:colOff>
      <xdr:row>37</xdr:row>
      <xdr:rowOff>31459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6394EA-FA75-44CD-8FCC-C64DF5EE6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78957" y="5143500"/>
          <a:ext cx="4961282" cy="818307"/>
        </a:xfrm>
        <a:prstGeom prst="rect">
          <a:avLst/>
        </a:prstGeom>
      </xdr:spPr>
    </xdr:pic>
    <xdr:clientData/>
  </xdr:twoCellAnchor>
  <xdr:twoCellAnchor>
    <xdr:from>
      <xdr:col>5</xdr:col>
      <xdr:colOff>843583</xdr:colOff>
      <xdr:row>38</xdr:row>
      <xdr:rowOff>84896</xdr:rowOff>
    </xdr:from>
    <xdr:to>
      <xdr:col>17</xdr:col>
      <xdr:colOff>300244</xdr:colOff>
      <xdr:row>59</xdr:row>
      <xdr:rowOff>167723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AA6FDB-1FE1-242C-9B2A-035362F55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38100</xdr:colOff>
      <xdr:row>53</xdr:row>
      <xdr:rowOff>114300</xdr:rowOff>
    </xdr:from>
    <xdr:to>
      <xdr:col>5</xdr:col>
      <xdr:colOff>504825</xdr:colOff>
      <xdr:row>59</xdr:row>
      <xdr:rowOff>171450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38BB145-133A-6233-1BF9-BA85E9C27742}"/>
            </a:ext>
          </a:extLst>
        </xdr:cNvPr>
        <xdr:cNvSpPr txBox="1"/>
      </xdr:nvSpPr>
      <xdr:spPr>
        <a:xfrm>
          <a:off x="647700" y="9734550"/>
          <a:ext cx="4886325" cy="1200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Z" sz="1100"/>
            <a:t>CONCLUSION</a:t>
          </a:r>
        </a:p>
        <a:p>
          <a:endParaRPr lang="en-NZ" sz="1100"/>
        </a:p>
        <a:p>
          <a:r>
            <a:rPr lang="en-NZ" sz="1100"/>
            <a:t>Based on this</a:t>
          </a:r>
          <a:r>
            <a:rPr lang="en-NZ" sz="1100" baseline="0"/>
            <a:t> analysis, the finest mesh has the least error but the computational time is a lot larger. There is less than 1% convergence error between the base mesh and fine mesh - therefore the base mesh is acceptable to use for our 3D 50cc iterations. </a:t>
          </a:r>
          <a:endParaRPr lang="en-NZ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zoomScale="130" zoomScaleNormal="130" workbookViewId="0">
      <selection activeCell="D6" sqref="D6"/>
    </sheetView>
  </sheetViews>
  <sheetFormatPr defaultColWidth="9.109375" defaultRowHeight="14.4" x14ac:dyDescent="0.3"/>
  <cols>
    <col min="1" max="1" width="33.33203125" style="1" customWidth="1"/>
    <col min="2" max="2" width="19.33203125" style="1" customWidth="1"/>
    <col min="3" max="3" width="18.5546875" style="1" customWidth="1"/>
    <col min="4" max="4" width="16.6640625" style="1" customWidth="1"/>
    <col min="5" max="5" width="14.88671875" style="1" customWidth="1"/>
    <col min="6" max="6" width="17" style="1" customWidth="1"/>
    <col min="7" max="7" width="13.88671875" style="1" customWidth="1"/>
    <col min="8" max="8" width="25" style="1" customWidth="1"/>
    <col min="9" max="9" width="15.44140625" style="1" customWidth="1"/>
    <col min="10" max="10" width="9.109375" style="1"/>
    <col min="11" max="11" width="11.6640625" style="1" customWidth="1"/>
    <col min="12" max="16384" width="9.109375" style="1"/>
  </cols>
  <sheetData>
    <row r="1" spans="1:12" ht="28.8" x14ac:dyDescent="0.3">
      <c r="A1" s="1" t="s">
        <v>8</v>
      </c>
      <c r="B1" s="1" t="s">
        <v>5</v>
      </c>
      <c r="C1" s="1" t="s">
        <v>4</v>
      </c>
      <c r="D1" s="1" t="s">
        <v>6</v>
      </c>
      <c r="E1" s="1" t="s">
        <v>7</v>
      </c>
      <c r="F1" s="1" t="s">
        <v>0</v>
      </c>
      <c r="G1" s="1" t="s">
        <v>1</v>
      </c>
      <c r="H1" s="1" t="s">
        <v>11</v>
      </c>
      <c r="I1" s="1" t="s">
        <v>2</v>
      </c>
      <c r="J1" s="1" t="s">
        <v>12</v>
      </c>
      <c r="K1" s="1" t="s">
        <v>16</v>
      </c>
    </row>
    <row r="2" spans="1:12" x14ac:dyDescent="0.3">
      <c r="A2" s="1" t="s">
        <v>9</v>
      </c>
      <c r="B2" s="1">
        <v>1.57</v>
      </c>
      <c r="C2" s="1">
        <v>7.5370000000000003E-3</v>
      </c>
      <c r="D2" s="1">
        <v>3.5000000000000001E-3</v>
      </c>
      <c r="E2" s="1">
        <v>1060</v>
      </c>
      <c r="F2" s="1">
        <f xml:space="preserve"> (B2*C2*E2)/D2</f>
        <v>3583.735828571429</v>
      </c>
      <c r="H2" s="1">
        <v>1</v>
      </c>
      <c r="I2" s="1">
        <f xml:space="preserve"> 2*H2*SQRT(74)*C2*F2^(-13/14)</f>
        <v>6.4921646300294191E-5</v>
      </c>
      <c r="J2" s="1">
        <v>6.27</v>
      </c>
      <c r="L2" t="s">
        <v>10</v>
      </c>
    </row>
    <row r="5" spans="1:12" x14ac:dyDescent="0.3">
      <c r="A5" s="1" t="s">
        <v>13</v>
      </c>
      <c r="B5" s="1" t="s">
        <v>14</v>
      </c>
      <c r="C5" s="1" t="s">
        <v>3</v>
      </c>
      <c r="D5" s="1" t="s">
        <v>15</v>
      </c>
    </row>
    <row r="6" spans="1:12" x14ac:dyDescent="0.3">
      <c r="B6" s="1">
        <f>I2</f>
        <v>6.4921646300294191E-5</v>
      </c>
      <c r="C6" s="1">
        <f>J2</f>
        <v>6.27</v>
      </c>
      <c r="D6" s="1">
        <f>B6/C6</f>
        <v>1.0354329553475949E-5</v>
      </c>
    </row>
    <row r="23" spans="8:8" x14ac:dyDescent="0.3">
      <c r="H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AF2D-C2AC-46FB-A08A-71AD985E36B5}">
  <dimension ref="A1:K27"/>
  <sheetViews>
    <sheetView topLeftCell="A8" workbookViewId="0">
      <selection activeCell="B29" sqref="B29"/>
    </sheetView>
  </sheetViews>
  <sheetFormatPr defaultColWidth="9.109375" defaultRowHeight="14.4" x14ac:dyDescent="0.3"/>
  <cols>
    <col min="1" max="1" width="21.44140625" style="1" customWidth="1"/>
    <col min="2" max="2" width="23.44140625" style="1" customWidth="1"/>
    <col min="3" max="3" width="9.109375" style="1"/>
    <col min="4" max="4" width="16.44140625" style="1" customWidth="1"/>
    <col min="5" max="5" width="31" style="1" customWidth="1"/>
    <col min="6" max="6" width="16.44140625" style="1" customWidth="1"/>
    <col min="7" max="7" width="11.5546875" style="1" bestFit="1" customWidth="1"/>
    <col min="8" max="8" width="9.109375" style="1"/>
    <col min="9" max="9" width="10.33203125" style="1" customWidth="1"/>
    <col min="10" max="10" width="9.109375" style="1"/>
    <col min="11" max="11" width="15.44140625" style="1" customWidth="1"/>
    <col min="12" max="16384" width="9.109375" style="1"/>
  </cols>
  <sheetData>
    <row r="1" spans="1:11" ht="43.2" x14ac:dyDescent="0.3">
      <c r="A1" s="1" t="s">
        <v>20</v>
      </c>
      <c r="B1" s="1" t="s">
        <v>17</v>
      </c>
      <c r="C1" s="1" t="s">
        <v>18</v>
      </c>
      <c r="D1" s="1" t="s">
        <v>19</v>
      </c>
      <c r="E1" s="1" t="s">
        <v>21</v>
      </c>
      <c r="G1" s="1" t="s">
        <v>22</v>
      </c>
    </row>
    <row r="2" spans="1:11" x14ac:dyDescent="0.3">
      <c r="A2" s="1">
        <v>4.0000000000000003E-5</v>
      </c>
      <c r="B2" s="1">
        <v>1.2</v>
      </c>
      <c r="C2" s="1">
        <v>10</v>
      </c>
      <c r="D2" s="1">
        <f>A2*(B2^(C2-1))</f>
        <v>2.0639121407999998E-4</v>
      </c>
      <c r="E2" s="1">
        <f>A2*((B2^C2-1)/(B2-1))</f>
        <v>1.0383472844800001E-3</v>
      </c>
      <c r="G2" s="1">
        <f>E2* SQRT(2)</f>
        <v>1.4684448121648906E-3</v>
      </c>
    </row>
    <row r="3" spans="1:11" x14ac:dyDescent="0.3">
      <c r="A3" s="1">
        <v>1.04E-5</v>
      </c>
      <c r="B3" s="1">
        <v>1.2</v>
      </c>
      <c r="C3" s="1">
        <v>10</v>
      </c>
      <c r="D3" s="1">
        <f>A3*(B3^(C3-1))</f>
        <v>5.3661715660799997E-5</v>
      </c>
      <c r="E3" s="1">
        <f>A3*((B3^C3-1)/(B3-1))</f>
        <v>2.699702939648E-4</v>
      </c>
      <c r="G3" s="1">
        <f>E3* SQRT(2)</f>
        <v>3.8179565116287155E-4</v>
      </c>
    </row>
    <row r="12" spans="1:11" ht="15" thickBot="1" x14ac:dyDescent="0.35"/>
    <row r="13" spans="1:11" ht="28.8" x14ac:dyDescent="0.3">
      <c r="A13" s="1" t="s">
        <v>23</v>
      </c>
      <c r="B13" s="1" t="s">
        <v>19</v>
      </c>
      <c r="D13" s="1" t="s">
        <v>24</v>
      </c>
      <c r="E13" s="1" t="s">
        <v>25</v>
      </c>
      <c r="F13" s="1" t="s">
        <v>26</v>
      </c>
      <c r="K13" s="13" t="s">
        <v>48</v>
      </c>
    </row>
    <row r="14" spans="1:11" ht="15" thickBot="1" x14ac:dyDescent="0.35">
      <c r="A14" s="1">
        <v>2.5000000000000001E-4</v>
      </c>
      <c r="B14" s="1">
        <f>A14/SQRT(2)</f>
        <v>1.7677669529663688E-4</v>
      </c>
      <c r="D14" s="1">
        <v>1.2</v>
      </c>
      <c r="E14" s="1">
        <v>12</v>
      </c>
      <c r="F14" s="1">
        <f>B14/(D14^(E14-1))</f>
        <v>2.3792019346019993E-5</v>
      </c>
      <c r="K14" s="14">
        <v>1.5</v>
      </c>
    </row>
    <row r="15" spans="1:11" ht="15" thickBot="1" x14ac:dyDescent="0.35"/>
    <row r="16" spans="1:11" x14ac:dyDescent="0.3">
      <c r="A16" s="9">
        <v>1E-4</v>
      </c>
      <c r="B16" s="10">
        <f t="shared" ref="B16:B27" si="0">A16/SQRT(2)</f>
        <v>7.0710678118654754E-5</v>
      </c>
      <c r="C16" s="10"/>
      <c r="D16" s="10">
        <v>1.1000000000000001</v>
      </c>
      <c r="E16" s="10">
        <v>17</v>
      </c>
      <c r="F16" s="10">
        <f t="shared" ref="F16:F21" si="1">B16/(D16^(E16-1))</f>
        <v>1.53887037700982E-5</v>
      </c>
      <c r="G16" s="10"/>
      <c r="H16" s="10" t="s">
        <v>27</v>
      </c>
      <c r="I16" s="74" t="s">
        <v>40</v>
      </c>
    </row>
    <row r="17" spans="1:9" ht="15" thickBot="1" x14ac:dyDescent="0.35">
      <c r="A17" s="11">
        <v>2.0000000000000001E-4</v>
      </c>
      <c r="B17" s="12">
        <f t="shared" si="0"/>
        <v>1.4142135623730951E-4</v>
      </c>
      <c r="C17" s="12"/>
      <c r="D17" s="12">
        <v>1.1000000000000001</v>
      </c>
      <c r="E17" s="12">
        <v>15</v>
      </c>
      <c r="F17" s="12">
        <f t="shared" si="1"/>
        <v>3.7240663123637648E-5</v>
      </c>
      <c r="G17" s="12"/>
      <c r="H17" s="12" t="s">
        <v>28</v>
      </c>
      <c r="I17" s="76"/>
    </row>
    <row r="18" spans="1:9" x14ac:dyDescent="0.3">
      <c r="A18" s="9">
        <f>A16/K14</f>
        <v>6.666666666666667E-5</v>
      </c>
      <c r="B18" s="10">
        <f t="shared" si="0"/>
        <v>4.7140452079103169E-5</v>
      </c>
      <c r="C18" s="10"/>
      <c r="D18" s="10">
        <v>1.1000000000000001</v>
      </c>
      <c r="E18" s="10">
        <v>17</v>
      </c>
      <c r="F18" s="10">
        <f t="shared" si="1"/>
        <v>1.0259135846732134E-5</v>
      </c>
      <c r="G18" s="10"/>
      <c r="H18" s="10" t="s">
        <v>27</v>
      </c>
      <c r="I18" s="74" t="s">
        <v>49</v>
      </c>
    </row>
    <row r="19" spans="1:9" ht="15" thickBot="1" x14ac:dyDescent="0.35">
      <c r="A19" s="22">
        <f>A17/K14</f>
        <v>1.3333333333333334E-4</v>
      </c>
      <c r="B19" s="1">
        <f t="shared" si="0"/>
        <v>9.4280904158206339E-5</v>
      </c>
      <c r="D19" s="1">
        <v>1.1000000000000001</v>
      </c>
      <c r="E19" s="1">
        <v>17</v>
      </c>
      <c r="F19" s="1">
        <f t="shared" si="1"/>
        <v>2.0518271693464268E-5</v>
      </c>
      <c r="H19" s="1" t="s">
        <v>28</v>
      </c>
      <c r="I19" s="75"/>
    </row>
    <row r="20" spans="1:9" x14ac:dyDescent="0.3">
      <c r="A20" s="9">
        <f>A16*$K$14</f>
        <v>1.5000000000000001E-4</v>
      </c>
      <c r="B20" s="10">
        <f t="shared" si="0"/>
        <v>1.0606601717798214E-4</v>
      </c>
      <c r="C20" s="10"/>
      <c r="D20" s="10">
        <v>1.1000000000000001</v>
      </c>
      <c r="E20" s="10">
        <v>17</v>
      </c>
      <c r="F20" s="10">
        <f t="shared" si="1"/>
        <v>2.3083055655147302E-5</v>
      </c>
      <c r="G20" s="10"/>
      <c r="H20" s="10" t="s">
        <v>27</v>
      </c>
      <c r="I20" s="74" t="s">
        <v>53</v>
      </c>
    </row>
    <row r="21" spans="1:9" ht="15" thickBot="1" x14ac:dyDescent="0.35">
      <c r="A21" s="11">
        <f>A17*$K$14</f>
        <v>3.0000000000000003E-4</v>
      </c>
      <c r="B21" s="12">
        <f t="shared" si="0"/>
        <v>2.1213203435596428E-4</v>
      </c>
      <c r="C21" s="12"/>
      <c r="D21" s="12">
        <v>1.1000000000000001</v>
      </c>
      <c r="E21" s="12">
        <v>14</v>
      </c>
      <c r="F21" s="12">
        <f t="shared" si="1"/>
        <v>6.1447094154002137E-5</v>
      </c>
      <c r="G21" s="12"/>
      <c r="H21" s="12" t="s">
        <v>28</v>
      </c>
      <c r="I21" s="76"/>
    </row>
    <row r="22" spans="1:9" x14ac:dyDescent="0.3">
      <c r="A22" s="9">
        <f t="shared" ref="A22:A27" si="2">A20*$K$14</f>
        <v>2.2500000000000002E-4</v>
      </c>
      <c r="B22" s="10">
        <f t="shared" si="0"/>
        <v>1.5909902576697319E-4</v>
      </c>
      <c r="C22" s="10"/>
      <c r="D22" s="10">
        <v>1.1000000000000001</v>
      </c>
      <c r="E22" s="10">
        <v>17</v>
      </c>
      <c r="F22" s="10">
        <f t="shared" ref="F22:F23" si="3">B22/(D22^(E22-1))</f>
        <v>3.4624583482720947E-5</v>
      </c>
      <c r="G22" s="10"/>
      <c r="H22" s="10" t="s">
        <v>27</v>
      </c>
      <c r="I22" s="74" t="s">
        <v>55</v>
      </c>
    </row>
    <row r="23" spans="1:9" ht="15" thickBot="1" x14ac:dyDescent="0.35">
      <c r="A23" s="11">
        <f t="shared" si="2"/>
        <v>4.5000000000000004E-4</v>
      </c>
      <c r="B23" s="12">
        <f t="shared" si="0"/>
        <v>3.1819805153394639E-4</v>
      </c>
      <c r="C23" s="12"/>
      <c r="D23" s="12">
        <v>1.1000000000000001</v>
      </c>
      <c r="E23" s="12">
        <v>17</v>
      </c>
      <c r="F23" s="12">
        <f t="shared" si="3"/>
        <v>6.9249166965441893E-5</v>
      </c>
      <c r="G23" s="12"/>
      <c r="H23" s="12" t="s">
        <v>28</v>
      </c>
      <c r="I23" s="76"/>
    </row>
    <row r="24" spans="1:9" x14ac:dyDescent="0.3">
      <c r="A24" s="9">
        <f t="shared" si="2"/>
        <v>3.3750000000000002E-4</v>
      </c>
      <c r="B24" s="10">
        <f t="shared" si="0"/>
        <v>2.3864853865045979E-4</v>
      </c>
      <c r="C24" s="10"/>
      <c r="D24" s="10">
        <v>1.1000000000000001</v>
      </c>
      <c r="E24" s="10">
        <v>17</v>
      </c>
      <c r="F24" s="10">
        <f t="shared" ref="F24:F25" si="4">B24/(D24^(E24-1))</f>
        <v>5.1936875224081427E-5</v>
      </c>
      <c r="G24" s="10"/>
      <c r="H24" s="10" t="s">
        <v>27</v>
      </c>
      <c r="I24" s="74" t="s">
        <v>57</v>
      </c>
    </row>
    <row r="25" spans="1:9" ht="15" thickBot="1" x14ac:dyDescent="0.35">
      <c r="A25" s="11">
        <f t="shared" si="2"/>
        <v>6.7500000000000004E-4</v>
      </c>
      <c r="B25" s="12">
        <f t="shared" si="0"/>
        <v>4.7729707730091958E-4</v>
      </c>
      <c r="C25" s="12"/>
      <c r="D25" s="12">
        <v>1.1000000000000001</v>
      </c>
      <c r="E25" s="12">
        <v>17</v>
      </c>
      <c r="F25" s="12">
        <f t="shared" si="4"/>
        <v>1.0387375044816285E-4</v>
      </c>
      <c r="G25" s="12"/>
      <c r="H25" s="12" t="s">
        <v>28</v>
      </c>
      <c r="I25" s="76"/>
    </row>
    <row r="26" spans="1:9" x14ac:dyDescent="0.3">
      <c r="A26" s="9">
        <f t="shared" si="2"/>
        <v>5.0624999999999997E-4</v>
      </c>
      <c r="B26" s="10">
        <f t="shared" si="0"/>
        <v>3.5797280797568963E-4</v>
      </c>
      <c r="C26" s="10"/>
      <c r="D26" s="10">
        <v>1.1000000000000001</v>
      </c>
      <c r="E26" s="10">
        <v>17</v>
      </c>
      <c r="F26" s="10">
        <f t="shared" ref="F26:F27" si="5">B26/(D26^(E26-1))</f>
        <v>7.7905312836122127E-5</v>
      </c>
      <c r="G26" s="10"/>
      <c r="H26" s="10" t="s">
        <v>27</v>
      </c>
      <c r="I26" s="74" t="s">
        <v>61</v>
      </c>
    </row>
    <row r="27" spans="1:9" ht="15" thickBot="1" x14ac:dyDescent="0.35">
      <c r="A27" s="11">
        <f t="shared" si="2"/>
        <v>1.0124999999999999E-3</v>
      </c>
      <c r="B27" s="12">
        <f t="shared" si="0"/>
        <v>7.1594561595137926E-4</v>
      </c>
      <c r="C27" s="12"/>
      <c r="D27" s="12">
        <v>1.1000000000000001</v>
      </c>
      <c r="E27" s="12">
        <v>15</v>
      </c>
      <c r="F27" s="12">
        <f t="shared" si="5"/>
        <v>1.8853085706341556E-4</v>
      </c>
      <c r="G27" s="12"/>
      <c r="H27" s="12" t="s">
        <v>28</v>
      </c>
      <c r="I27" s="76"/>
    </row>
  </sheetData>
  <mergeCells count="6">
    <mergeCell ref="I26:I27"/>
    <mergeCell ref="I16:I17"/>
    <mergeCell ref="I18:I19"/>
    <mergeCell ref="I20:I21"/>
    <mergeCell ref="I22:I23"/>
    <mergeCell ref="I24:I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48018-0A2C-4C1C-815F-198782E0D373}">
  <dimension ref="B6:M84"/>
  <sheetViews>
    <sheetView topLeftCell="A38" zoomScale="85" workbookViewId="0">
      <selection activeCell="D44" sqref="D44"/>
    </sheetView>
  </sheetViews>
  <sheetFormatPr defaultRowHeight="14.4" x14ac:dyDescent="0.3"/>
  <cols>
    <col min="2" max="2" width="14.44140625" customWidth="1"/>
    <col min="3" max="7" width="16.33203125" style="1" customWidth="1"/>
    <col min="8" max="10" width="14.109375" customWidth="1"/>
    <col min="11" max="11" width="13.33203125" customWidth="1"/>
  </cols>
  <sheetData>
    <row r="6" spans="2:11" ht="15" thickBot="1" x14ac:dyDescent="0.35">
      <c r="G6" s="1" t="s">
        <v>74</v>
      </c>
      <c r="H6" t="s">
        <v>73</v>
      </c>
      <c r="I6" t="s">
        <v>72</v>
      </c>
    </row>
    <row r="7" spans="2:11" ht="15" thickBot="1" x14ac:dyDescent="0.35">
      <c r="D7" s="1" t="s">
        <v>62</v>
      </c>
      <c r="E7" s="26" t="s">
        <v>60</v>
      </c>
      <c r="F7" s="26" t="s">
        <v>55</v>
      </c>
      <c r="G7" s="26" t="s">
        <v>53</v>
      </c>
      <c r="H7" s="5" t="s">
        <v>40</v>
      </c>
      <c r="I7" s="5" t="s">
        <v>49</v>
      </c>
      <c r="J7" s="5" t="s">
        <v>90</v>
      </c>
    </row>
    <row r="8" spans="2:11" x14ac:dyDescent="0.3">
      <c r="B8" s="77" t="s">
        <v>42</v>
      </c>
      <c r="C8" s="2" t="s">
        <v>22</v>
      </c>
      <c r="D8" s="23"/>
      <c r="E8" s="23">
        <v>6.7500000000000004E-4</v>
      </c>
      <c r="F8" s="23">
        <v>4.4999999999999999E-4</v>
      </c>
      <c r="G8" s="23">
        <v>2.9999999999999997E-4</v>
      </c>
      <c r="H8" s="16">
        <v>2.0000000000000001E-4</v>
      </c>
      <c r="I8" s="8">
        <f>'Inflation height calculator'!A19</f>
        <v>1.3333333333333334E-4</v>
      </c>
      <c r="J8" s="53">
        <f>I8/1.5</f>
        <v>8.8888888888888893E-5</v>
      </c>
      <c r="K8" s="83" t="s">
        <v>47</v>
      </c>
    </row>
    <row r="9" spans="2:11" x14ac:dyDescent="0.3">
      <c r="B9" s="78"/>
      <c r="C9" s="3" t="s">
        <v>43</v>
      </c>
      <c r="D9" s="24"/>
      <c r="E9" s="24">
        <v>1E-4</v>
      </c>
      <c r="F9" s="24">
        <v>3.0000000000000001E-5</v>
      </c>
      <c r="G9" s="24">
        <v>3.0000000000000001E-5</v>
      </c>
      <c r="H9" s="17">
        <v>3.4E-5</v>
      </c>
      <c r="I9" s="6">
        <f>'Inflation height calculator'!F19</f>
        <v>2.0518271693464268E-5</v>
      </c>
      <c r="J9" s="54"/>
      <c r="K9" s="84"/>
    </row>
    <row r="10" spans="2:11" x14ac:dyDescent="0.3">
      <c r="B10" s="78"/>
      <c r="C10" s="3" t="s">
        <v>44</v>
      </c>
      <c r="D10" s="24"/>
      <c r="E10" s="24">
        <v>17</v>
      </c>
      <c r="F10" s="24">
        <v>17</v>
      </c>
      <c r="G10" s="24">
        <v>17</v>
      </c>
      <c r="H10" s="17">
        <v>17</v>
      </c>
      <c r="I10" s="6">
        <f>'Inflation height calculator'!E19</f>
        <v>17</v>
      </c>
      <c r="J10" s="54"/>
      <c r="K10" s="19"/>
    </row>
    <row r="11" spans="2:11" ht="15" thickBot="1" x14ac:dyDescent="0.35">
      <c r="B11" s="79"/>
      <c r="C11" s="4" t="s">
        <v>45</v>
      </c>
      <c r="D11" s="25"/>
      <c r="E11" s="25">
        <v>1.1000000000000001</v>
      </c>
      <c r="F11" s="25">
        <v>1.1000000000000001</v>
      </c>
      <c r="G11" s="25">
        <v>1.1000000000000001</v>
      </c>
      <c r="H11" s="18">
        <v>1.1000000000000001</v>
      </c>
      <c r="I11" s="7">
        <f>'Inflation height calculator'!D19</f>
        <v>1.1000000000000001</v>
      </c>
      <c r="J11" s="55"/>
      <c r="K11" s="20"/>
    </row>
    <row r="12" spans="2:11" x14ac:dyDescent="0.3">
      <c r="B12" s="80" t="s">
        <v>46</v>
      </c>
      <c r="C12" s="2" t="s">
        <v>22</v>
      </c>
      <c r="D12" s="23"/>
      <c r="E12" s="23">
        <v>3.7500000000000001E-4</v>
      </c>
      <c r="F12" s="23">
        <v>2.2499999999999999E-4</v>
      </c>
      <c r="G12" s="23">
        <v>1.4999999999999999E-4</v>
      </c>
      <c r="H12" s="16">
        <v>1E-4</v>
      </c>
      <c r="I12" s="8">
        <f>'Inflation height calculator'!A18</f>
        <v>6.666666666666667E-5</v>
      </c>
      <c r="J12" s="53">
        <f>J8/SQRT(2)</f>
        <v>6.2853936105470892E-5</v>
      </c>
      <c r="K12" s="83" t="s">
        <v>47</v>
      </c>
    </row>
    <row r="13" spans="2:11" x14ac:dyDescent="0.3">
      <c r="B13" s="81"/>
      <c r="C13" s="3" t="s">
        <v>43</v>
      </c>
      <c r="D13" s="24"/>
      <c r="E13" s="24">
        <v>5.1999999999999997E-5</v>
      </c>
      <c r="F13" s="24">
        <v>3.4600000000000001E-5</v>
      </c>
      <c r="G13" s="24">
        <v>2.3099999999999999E-5</v>
      </c>
      <c r="H13" s="17">
        <v>1.84E-5</v>
      </c>
      <c r="I13" s="6">
        <f>'Inflation height calculator'!F18</f>
        <v>1.0259135846732134E-5</v>
      </c>
      <c r="J13" s="54"/>
      <c r="K13" s="84"/>
    </row>
    <row r="14" spans="2:11" x14ac:dyDescent="0.3">
      <c r="B14" s="81"/>
      <c r="C14" s="3" t="s">
        <v>44</v>
      </c>
      <c r="D14" s="24"/>
      <c r="E14" s="24">
        <v>17</v>
      </c>
      <c r="F14" s="24">
        <v>17</v>
      </c>
      <c r="G14" s="24">
        <v>17</v>
      </c>
      <c r="H14" s="17">
        <v>17</v>
      </c>
      <c r="I14" s="6">
        <f>'Inflation height calculator'!E18</f>
        <v>17</v>
      </c>
      <c r="J14" s="54"/>
      <c r="K14" s="19"/>
    </row>
    <row r="15" spans="2:11" ht="15" thickBot="1" x14ac:dyDescent="0.35">
      <c r="B15" s="82"/>
      <c r="C15" s="4" t="s">
        <v>45</v>
      </c>
      <c r="D15" s="25"/>
      <c r="E15" s="25">
        <v>1.1000000000000001</v>
      </c>
      <c r="F15" s="25">
        <v>1.1000000000000001</v>
      </c>
      <c r="G15" s="25">
        <v>1.1000000000000001</v>
      </c>
      <c r="H15" s="18">
        <v>1.1000000000000001</v>
      </c>
      <c r="I15" s="7">
        <f>'Inflation height calculator'!D18</f>
        <v>1.1000000000000001</v>
      </c>
      <c r="J15" s="55"/>
      <c r="K15" s="20"/>
    </row>
    <row r="16" spans="2:11" hidden="1" x14ac:dyDescent="0.3">
      <c r="B16" s="77" t="s">
        <v>41</v>
      </c>
      <c r="C16" s="2" t="s">
        <v>29</v>
      </c>
      <c r="D16" s="23">
        <v>0.61242600000000003</v>
      </c>
      <c r="E16" s="23">
        <v>0.428618</v>
      </c>
      <c r="F16" s="23">
        <v>0.133294</v>
      </c>
      <c r="G16" s="23">
        <v>0.10509</v>
      </c>
      <c r="H16" s="16">
        <v>0.15218699999999999</v>
      </c>
      <c r="I16" s="8">
        <v>8.5250500000000007E-2</v>
      </c>
      <c r="J16" s="53"/>
      <c r="K16" s="21"/>
    </row>
    <row r="17" spans="2:13" hidden="1" x14ac:dyDescent="0.3">
      <c r="B17" s="78"/>
      <c r="C17" s="3" t="s">
        <v>30</v>
      </c>
      <c r="D17" s="24">
        <v>6.7086399999999999</v>
      </c>
      <c r="E17" s="24">
        <v>4.7326499999999996</v>
      </c>
      <c r="F17" s="24">
        <v>5.1008899999999997</v>
      </c>
      <c r="G17" s="24">
        <v>3.67753</v>
      </c>
      <c r="H17" s="17">
        <v>1.87096</v>
      </c>
      <c r="I17" s="6">
        <v>1.3018799999999999</v>
      </c>
      <c r="J17" s="54"/>
      <c r="K17" s="19"/>
    </row>
    <row r="18" spans="2:13" hidden="1" x14ac:dyDescent="0.3">
      <c r="B18" s="78"/>
      <c r="C18" s="3" t="s">
        <v>31</v>
      </c>
      <c r="D18" s="24">
        <v>36.662700000000001</v>
      </c>
      <c r="E18" s="24">
        <v>48.25</v>
      </c>
      <c r="F18" s="24">
        <v>71.8155</v>
      </c>
      <c r="G18" s="24">
        <v>146.56899999999999</v>
      </c>
      <c r="H18" s="17">
        <v>123.958</v>
      </c>
      <c r="I18" s="6">
        <v>169.49600000000001</v>
      </c>
      <c r="J18" s="54"/>
      <c r="K18" s="19" t="s">
        <v>32</v>
      </c>
    </row>
    <row r="19" spans="2:13" hidden="1" x14ac:dyDescent="0.3">
      <c r="B19" s="78"/>
      <c r="C19" s="3" t="s">
        <v>33</v>
      </c>
      <c r="D19" s="24">
        <v>1.41089</v>
      </c>
      <c r="E19" s="24">
        <v>1.77311</v>
      </c>
      <c r="F19" s="24">
        <v>1.4968300000000001</v>
      </c>
      <c r="G19" s="24">
        <v>1.5101</v>
      </c>
      <c r="H19" s="17">
        <v>1.8588</v>
      </c>
      <c r="I19" s="6">
        <v>1.7730999999999999</v>
      </c>
      <c r="J19" s="54"/>
      <c r="K19" s="19" t="s">
        <v>32</v>
      </c>
    </row>
    <row r="20" spans="2:13" hidden="1" x14ac:dyDescent="0.3">
      <c r="B20" s="78"/>
      <c r="C20" s="3" t="s">
        <v>34</v>
      </c>
      <c r="D20" s="24">
        <v>0.43851299999999999</v>
      </c>
      <c r="E20" s="24">
        <v>0.43740400000000002</v>
      </c>
      <c r="F20" s="24">
        <v>0.43780999999999998</v>
      </c>
      <c r="G20" s="24">
        <v>0.43610599999999999</v>
      </c>
      <c r="H20" s="17">
        <v>0.43882700000000002</v>
      </c>
      <c r="I20" s="6">
        <v>0.44056200000000001</v>
      </c>
      <c r="J20" s="54"/>
      <c r="K20" s="19" t="s">
        <v>35</v>
      </c>
    </row>
    <row r="21" spans="2:13" hidden="1" x14ac:dyDescent="0.3">
      <c r="B21" s="78"/>
      <c r="C21" s="3" t="s">
        <v>36</v>
      </c>
      <c r="D21" s="24">
        <v>1.6634800000000001</v>
      </c>
      <c r="E21" s="24">
        <v>1.68584</v>
      </c>
      <c r="F21" s="24">
        <v>1.72878</v>
      </c>
      <c r="G21" s="24">
        <v>1.7250700000000001</v>
      </c>
      <c r="H21" s="17">
        <v>1.73045</v>
      </c>
      <c r="I21" s="6">
        <v>1.7261599999999999</v>
      </c>
      <c r="J21" s="54"/>
      <c r="K21" s="19" t="s">
        <v>35</v>
      </c>
    </row>
    <row r="22" spans="2:13" hidden="1" x14ac:dyDescent="0.3">
      <c r="B22" s="78"/>
      <c r="C22" s="3" t="s">
        <v>37</v>
      </c>
      <c r="D22" s="24">
        <v>14189.6</v>
      </c>
      <c r="E22" s="24">
        <v>14204</v>
      </c>
      <c r="F22" s="24">
        <v>14227.2</v>
      </c>
      <c r="G22" s="24">
        <v>14247.6</v>
      </c>
      <c r="H22" s="17">
        <v>14258.7</v>
      </c>
      <c r="I22" s="6">
        <v>14259.7</v>
      </c>
      <c r="J22" s="54"/>
      <c r="K22" s="19" t="s">
        <v>32</v>
      </c>
    </row>
    <row r="23" spans="2:13" hidden="1" x14ac:dyDescent="0.3">
      <c r="B23" s="78"/>
      <c r="C23" s="3" t="s">
        <v>38</v>
      </c>
      <c r="D23" s="24">
        <v>15655</v>
      </c>
      <c r="E23" s="24">
        <v>15806.8</v>
      </c>
      <c r="F23" s="24">
        <v>16097.9</v>
      </c>
      <c r="G23" s="24">
        <v>16286.3</v>
      </c>
      <c r="H23" s="17">
        <v>16415.2</v>
      </c>
      <c r="I23" s="6">
        <v>16745.5</v>
      </c>
      <c r="J23" s="54"/>
      <c r="K23" s="19" t="s">
        <v>32</v>
      </c>
    </row>
    <row r="24" spans="2:13" ht="15" hidden="1" thickBot="1" x14ac:dyDescent="0.35">
      <c r="B24" s="79"/>
      <c r="C24" s="4" t="s">
        <v>39</v>
      </c>
      <c r="D24" s="25">
        <v>7501</v>
      </c>
      <c r="E24" s="25">
        <v>13667</v>
      </c>
      <c r="F24" s="25">
        <v>33837</v>
      </c>
      <c r="G24" s="25">
        <v>69513</v>
      </c>
      <c r="H24" s="18">
        <v>150118</v>
      </c>
      <c r="I24" s="7">
        <v>334579</v>
      </c>
      <c r="J24" s="55"/>
      <c r="K24" s="20"/>
    </row>
    <row r="25" spans="2:13" s="15" customFormat="1" hidden="1" x14ac:dyDescent="0.3">
      <c r="C25" s="29" t="s">
        <v>50</v>
      </c>
      <c r="D25" s="29"/>
      <c r="E25" s="29" t="s">
        <v>58</v>
      </c>
      <c r="F25" s="29" t="s">
        <v>56</v>
      </c>
      <c r="G25" s="27" t="s">
        <v>54</v>
      </c>
      <c r="H25" s="15" t="s">
        <v>59</v>
      </c>
      <c r="I25" s="15" t="s">
        <v>52</v>
      </c>
      <c r="K25" s="28" t="s">
        <v>51</v>
      </c>
    </row>
    <row r="26" spans="2:13" hidden="1" x14ac:dyDescent="0.3"/>
    <row r="27" spans="2:13" hidden="1" x14ac:dyDescent="0.3"/>
    <row r="28" spans="2:13" hidden="1" x14ac:dyDescent="0.3"/>
    <row r="29" spans="2:13" hidden="1" x14ac:dyDescent="0.3"/>
    <row r="30" spans="2:13" hidden="1" x14ac:dyDescent="0.3"/>
    <row r="31" spans="2:13" ht="15" hidden="1" thickBot="1" x14ac:dyDescent="0.35"/>
    <row r="32" spans="2:13" x14ac:dyDescent="0.3">
      <c r="B32" s="77" t="s">
        <v>41</v>
      </c>
      <c r="C32" s="2" t="s">
        <v>29</v>
      </c>
      <c r="D32" s="10">
        <v>3.8349000000000001E-2</v>
      </c>
      <c r="E32" s="10">
        <v>5.7050900000000002E-2</v>
      </c>
      <c r="F32" s="10">
        <v>8.1417500000000004E-2</v>
      </c>
      <c r="G32" s="10">
        <v>0.10879800000000001</v>
      </c>
      <c r="H32" s="16">
        <v>0.15218699999999999</v>
      </c>
      <c r="I32" s="31">
        <v>0.21410199999999999</v>
      </c>
      <c r="J32" s="31">
        <v>0.25626100000000002</v>
      </c>
      <c r="K32" s="32"/>
      <c r="M32" t="s">
        <v>76</v>
      </c>
    </row>
    <row r="33" spans="2:11" x14ac:dyDescent="0.3">
      <c r="B33" s="78"/>
      <c r="C33" s="3" t="s">
        <v>30</v>
      </c>
      <c r="D33" s="1">
        <v>1.64262</v>
      </c>
      <c r="E33" s="1">
        <v>1.6867000000000001</v>
      </c>
      <c r="F33" s="1">
        <v>1.7882100000000001</v>
      </c>
      <c r="G33" s="1">
        <v>1.85168</v>
      </c>
      <c r="H33" s="17">
        <v>1.87096</v>
      </c>
      <c r="I33">
        <v>2.02596</v>
      </c>
      <c r="J33">
        <v>1.9856499999999999</v>
      </c>
      <c r="K33" s="33"/>
    </row>
    <row r="34" spans="2:11" x14ac:dyDescent="0.3">
      <c r="B34" s="78"/>
      <c r="C34" s="3" t="s">
        <v>31</v>
      </c>
      <c r="D34" s="1">
        <v>89.412800000000004</v>
      </c>
      <c r="E34" s="1">
        <v>94.254199999999997</v>
      </c>
      <c r="F34" s="1">
        <v>104.26900000000001</v>
      </c>
      <c r="G34" s="1">
        <v>108.60599999999999</v>
      </c>
      <c r="H34" s="17">
        <v>123.958</v>
      </c>
      <c r="I34">
        <v>131.23699999999999</v>
      </c>
      <c r="J34">
        <v>155.94</v>
      </c>
      <c r="K34" s="33"/>
    </row>
    <row r="35" spans="2:11" x14ac:dyDescent="0.3">
      <c r="B35" s="78"/>
      <c r="C35" s="3" t="s">
        <v>33</v>
      </c>
      <c r="D35" s="1">
        <v>0.44930900000000001</v>
      </c>
      <c r="E35" s="1">
        <v>0.67726699999999995</v>
      </c>
      <c r="F35" s="1">
        <v>0.97732799999999997</v>
      </c>
      <c r="G35" s="1">
        <v>1.3249299999999999</v>
      </c>
      <c r="H35" s="17">
        <v>1.8588</v>
      </c>
      <c r="I35">
        <v>2.4549099999999999</v>
      </c>
      <c r="J35">
        <v>3.15022</v>
      </c>
      <c r="K35" s="33"/>
    </row>
    <row r="36" spans="2:11" x14ac:dyDescent="0.3">
      <c r="B36" s="78"/>
      <c r="C36" s="3" t="s">
        <v>34</v>
      </c>
      <c r="D36" s="1">
        <v>0.44017699999999998</v>
      </c>
      <c r="E36" s="1">
        <v>0.43838899999999997</v>
      </c>
      <c r="F36" s="1">
        <v>0.43690400000000001</v>
      </c>
      <c r="G36" s="1">
        <v>0.43625000000000003</v>
      </c>
      <c r="H36" s="17">
        <v>0.43882700000000002</v>
      </c>
      <c r="I36">
        <v>0.44075799999999998</v>
      </c>
      <c r="J36">
        <v>0.43810300000000002</v>
      </c>
      <c r="K36" s="33"/>
    </row>
    <row r="37" spans="2:11" x14ac:dyDescent="0.3">
      <c r="B37" s="78"/>
      <c r="C37" s="44" t="s">
        <v>36</v>
      </c>
      <c r="D37" s="45">
        <v>1.6466099999999999</v>
      </c>
      <c r="E37" s="45">
        <v>1.67414</v>
      </c>
      <c r="F37" s="45">
        <v>1.71726</v>
      </c>
      <c r="G37" s="45">
        <v>1.7226699999999999</v>
      </c>
      <c r="H37" s="46">
        <v>1.73045</v>
      </c>
      <c r="I37" s="47">
        <v>1.7284600000000001</v>
      </c>
      <c r="J37" s="47">
        <v>1.7312799999999999</v>
      </c>
      <c r="K37" s="33"/>
    </row>
    <row r="38" spans="2:11" x14ac:dyDescent="0.3">
      <c r="B38" s="78"/>
      <c r="C38" s="3" t="s">
        <v>37</v>
      </c>
      <c r="D38" s="1">
        <v>14185.7</v>
      </c>
      <c r="E38" s="1">
        <v>14207.9</v>
      </c>
      <c r="F38" s="1">
        <v>14234.3</v>
      </c>
      <c r="G38" s="1">
        <v>14246.1</v>
      </c>
      <c r="H38" s="17">
        <v>14258.7</v>
      </c>
      <c r="I38">
        <v>14259.5</v>
      </c>
      <c r="J38">
        <v>14264.7</v>
      </c>
      <c r="K38" s="33"/>
    </row>
    <row r="39" spans="2:11" x14ac:dyDescent="0.3">
      <c r="B39" s="78"/>
      <c r="C39" s="3" t="s">
        <v>38</v>
      </c>
      <c r="D39" s="1">
        <v>15742.1</v>
      </c>
      <c r="E39" s="1">
        <v>15928.4</v>
      </c>
      <c r="F39" s="1">
        <v>16093.1</v>
      </c>
      <c r="G39" s="1">
        <v>16263.1</v>
      </c>
      <c r="H39" s="17">
        <v>16415.2</v>
      </c>
      <c r="I39">
        <v>16542.3</v>
      </c>
      <c r="J39">
        <v>16895.400000000001</v>
      </c>
      <c r="K39" s="33"/>
    </row>
    <row r="40" spans="2:11" ht="15" thickBot="1" x14ac:dyDescent="0.35">
      <c r="B40" s="79"/>
      <c r="C40" s="4" t="s">
        <v>39</v>
      </c>
      <c r="D40" s="12">
        <v>9977</v>
      </c>
      <c r="E40" s="12">
        <v>16977</v>
      </c>
      <c r="F40" s="12">
        <v>36185</v>
      </c>
      <c r="G40" s="12">
        <v>70700</v>
      </c>
      <c r="H40" s="18">
        <v>150118</v>
      </c>
      <c r="I40" s="34">
        <v>265271</v>
      </c>
      <c r="J40" s="34">
        <v>695470</v>
      </c>
      <c r="K40" s="35"/>
    </row>
    <row r="41" spans="2:11" x14ac:dyDescent="0.3">
      <c r="D41" s="36">
        <v>1.2652314814814815E-3</v>
      </c>
      <c r="E41" s="1" t="s">
        <v>64</v>
      </c>
      <c r="F41" s="1" t="s">
        <v>63</v>
      </c>
      <c r="G41" s="30">
        <v>8.1376851851851853E-3</v>
      </c>
      <c r="I41" s="30">
        <v>2.0167789351851852E-2</v>
      </c>
      <c r="J41" s="30">
        <v>3.2287615740740745E-2</v>
      </c>
    </row>
    <row r="43" spans="2:11" x14ac:dyDescent="0.3">
      <c r="C43" s="1" t="s">
        <v>65</v>
      </c>
      <c r="D43" s="1">
        <v>15342</v>
      </c>
      <c r="E43" s="1">
        <v>24822</v>
      </c>
      <c r="F43" s="1">
        <v>48984</v>
      </c>
      <c r="G43" s="1">
        <v>89744</v>
      </c>
      <c r="H43" s="1">
        <v>179546</v>
      </c>
      <c r="I43" s="1">
        <v>379362</v>
      </c>
      <c r="J43" s="1"/>
    </row>
    <row r="44" spans="2:11" ht="28.8" x14ac:dyDescent="0.3">
      <c r="C44" s="48" t="s">
        <v>86</v>
      </c>
      <c r="D44" s="48">
        <f>(1/D43)/(10^-6)</f>
        <v>65.180550123843048</v>
      </c>
      <c r="E44" s="48">
        <f t="shared" ref="E44:I44" si="0">(1/E43)/(10^-6)</f>
        <v>40.286842317299168</v>
      </c>
      <c r="F44" s="48">
        <f t="shared" si="0"/>
        <v>20.414829332026784</v>
      </c>
      <c r="G44" s="48">
        <f t="shared" si="0"/>
        <v>11.142806204314496</v>
      </c>
      <c r="H44" s="48">
        <f t="shared" si="0"/>
        <v>5.5696033328506349</v>
      </c>
      <c r="I44" s="48">
        <f t="shared" si="0"/>
        <v>2.6360046604562397</v>
      </c>
      <c r="J44" s="48"/>
    </row>
    <row r="45" spans="2:11" x14ac:dyDescent="0.3">
      <c r="D45" s="45">
        <v>1.6466099999999999</v>
      </c>
      <c r="E45" s="45">
        <v>1.67414</v>
      </c>
      <c r="F45" s="45">
        <v>1.71726</v>
      </c>
      <c r="G45" s="45">
        <v>1.7226699999999999</v>
      </c>
      <c r="H45" s="46">
        <v>1.73045</v>
      </c>
      <c r="I45" s="47">
        <v>1.7284600000000001</v>
      </c>
      <c r="J45" s="47"/>
    </row>
    <row r="48" spans="2:11" x14ac:dyDescent="0.3">
      <c r="C48" s="1" t="s">
        <v>81</v>
      </c>
      <c r="D48" s="1" t="s">
        <v>82</v>
      </c>
      <c r="E48" s="1" t="s">
        <v>83</v>
      </c>
    </row>
    <row r="49" spans="2:13" x14ac:dyDescent="0.3">
      <c r="B49" t="s">
        <v>80</v>
      </c>
      <c r="C49">
        <v>1.5</v>
      </c>
    </row>
    <row r="50" spans="2:13" x14ac:dyDescent="0.3">
      <c r="B50" t="s">
        <v>77</v>
      </c>
      <c r="C50">
        <f>G37</f>
        <v>1.7226699999999999</v>
      </c>
      <c r="D50" s="1">
        <f>H37</f>
        <v>1.73045</v>
      </c>
      <c r="E50" s="1">
        <f>I37</f>
        <v>1.7284600000000001</v>
      </c>
    </row>
    <row r="51" spans="2:13" x14ac:dyDescent="0.3">
      <c r="B51" t="s">
        <v>78</v>
      </c>
      <c r="C51">
        <f>F37</f>
        <v>1.71726</v>
      </c>
      <c r="D51" s="1">
        <f>G37</f>
        <v>1.7226699999999999</v>
      </c>
      <c r="E51" s="1">
        <f>H37</f>
        <v>1.73045</v>
      </c>
    </row>
    <row r="52" spans="2:13" x14ac:dyDescent="0.3">
      <c r="B52" t="s">
        <v>79</v>
      </c>
      <c r="C52">
        <f>E37</f>
        <v>1.67414</v>
      </c>
      <c r="D52" s="1">
        <f>F37</f>
        <v>1.71726</v>
      </c>
      <c r="E52" s="1">
        <f>G37</f>
        <v>1.7226699999999999</v>
      </c>
    </row>
    <row r="53" spans="2:13" x14ac:dyDescent="0.3">
      <c r="B53" t="s">
        <v>75</v>
      </c>
      <c r="C53">
        <f>(LN((C52-C51)/(C51-C50)))/(LN($C$49))</f>
        <v>5.1193994063445567</v>
      </c>
      <c r="D53">
        <f>(LN((D52-D51)/(D51-D50)))/(LN($C$49))</f>
        <v>-0.89602591706861057</v>
      </c>
      <c r="E53" t="e">
        <f>(LN((E52-E51)/(E51-E50)))/(LN($C$49))</f>
        <v>#NUM!</v>
      </c>
      <c r="G53" t="s">
        <v>84</v>
      </c>
    </row>
    <row r="55" spans="2:13" x14ac:dyDescent="0.3">
      <c r="B55" t="s">
        <v>85</v>
      </c>
      <c r="C55" s="1">
        <f>C50+((C50-C51)/($C$49^C53 - 1))</f>
        <v>1.7234461363033677</v>
      </c>
      <c r="D55" s="1">
        <f t="shared" ref="D55:E55" si="1">D50+((D50-D51)/($C$49^D53 - 1))</f>
        <v>1.704910590717301</v>
      </c>
      <c r="E55" s="1" t="e">
        <f t="shared" si="1"/>
        <v>#NUM!</v>
      </c>
    </row>
    <row r="56" spans="2:13" x14ac:dyDescent="0.3">
      <c r="M56" t="s">
        <v>87</v>
      </c>
    </row>
    <row r="82" spans="3:12" ht="15" thickBot="1" x14ac:dyDescent="0.35"/>
    <row r="83" spans="3:12" ht="15" thickBot="1" x14ac:dyDescent="0.35">
      <c r="D83" s="49" t="s">
        <v>62</v>
      </c>
      <c r="E83" s="49" t="s">
        <v>60</v>
      </c>
      <c r="F83" s="49" t="s">
        <v>55</v>
      </c>
      <c r="G83" s="49" t="s">
        <v>53</v>
      </c>
      <c r="H83" s="50" t="s">
        <v>40</v>
      </c>
      <c r="I83" s="50" t="s">
        <v>49</v>
      </c>
    </row>
    <row r="84" spans="3:12" ht="29.4" thickBot="1" x14ac:dyDescent="0.35">
      <c r="C84" s="26" t="s">
        <v>88</v>
      </c>
      <c r="D84" s="51">
        <f>(($C$55-D45)/$C$55)*100</f>
        <v>4.4582847519780469</v>
      </c>
      <c r="E84" s="51">
        <f t="shared" ref="E84:H84" si="2">(($C$55-E45)/$C$55)*100</f>
        <v>2.8609038173438286</v>
      </c>
      <c r="F84" s="51">
        <f t="shared" si="2"/>
        <v>0.35893992699048999</v>
      </c>
      <c r="G84" s="51">
        <f t="shared" si="2"/>
        <v>4.5033975070004457E-2</v>
      </c>
      <c r="H84" s="51">
        <f t="shared" si="2"/>
        <v>-0.40638715356982058</v>
      </c>
      <c r="I84" s="52">
        <f>(($C$55-I45)/$C$55)*100</f>
        <v>-0.29092082375064204</v>
      </c>
      <c r="J84" s="1"/>
      <c r="L84" t="s">
        <v>89</v>
      </c>
    </row>
  </sheetData>
  <mergeCells count="6">
    <mergeCell ref="B32:B40"/>
    <mergeCell ref="B16:B24"/>
    <mergeCell ref="B8:B11"/>
    <mergeCell ref="B12:B15"/>
    <mergeCell ref="K8:K9"/>
    <mergeCell ref="K12:K1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5F4C5-C70A-4C0A-BD67-13FD9F75C3B9}">
  <dimension ref="B1:J52"/>
  <sheetViews>
    <sheetView tabSelected="1" topLeftCell="A3" zoomScaleNormal="100" workbookViewId="0">
      <selection activeCell="D25" sqref="D25:F25"/>
    </sheetView>
  </sheetViews>
  <sheetFormatPr defaultRowHeight="14.4" x14ac:dyDescent="0.3"/>
  <cols>
    <col min="2" max="2" width="14.6640625" style="1" customWidth="1"/>
    <col min="3" max="3" width="16.5546875" customWidth="1"/>
    <col min="4" max="4" width="21.6640625" customWidth="1"/>
    <col min="5" max="5" width="13.33203125" customWidth="1"/>
    <col min="6" max="6" width="19" customWidth="1"/>
    <col min="7" max="7" width="12.6640625" customWidth="1"/>
    <col min="8" max="8" width="18.33203125" customWidth="1"/>
  </cols>
  <sheetData>
    <row r="1" spans="2:10" ht="15" thickBot="1" x14ac:dyDescent="0.35"/>
    <row r="2" spans="2:10" ht="15" thickBot="1" x14ac:dyDescent="0.35">
      <c r="D2" s="5" t="s">
        <v>70</v>
      </c>
    </row>
    <row r="3" spans="2:10" ht="28.95" customHeight="1" x14ac:dyDescent="0.3">
      <c r="B3" s="70" t="s">
        <v>68</v>
      </c>
      <c r="C3" s="41" t="s">
        <v>43</v>
      </c>
      <c r="D3" s="38">
        <v>3.0000000000000001E-5</v>
      </c>
      <c r="E3" s="56"/>
    </row>
    <row r="4" spans="2:10" x14ac:dyDescent="0.3">
      <c r="B4" s="71"/>
      <c r="C4" s="42" t="s">
        <v>44</v>
      </c>
      <c r="D4" s="39">
        <v>17</v>
      </c>
      <c r="E4" s="57"/>
    </row>
    <row r="5" spans="2:10" ht="15" thickBot="1" x14ac:dyDescent="0.35">
      <c r="B5" s="72"/>
      <c r="C5" s="43" t="s">
        <v>45</v>
      </c>
      <c r="D5" s="40">
        <v>1.1000000000000001</v>
      </c>
      <c r="E5" s="58"/>
      <c r="H5" t="s">
        <v>71</v>
      </c>
    </row>
    <row r="6" spans="2:10" ht="28.95" customHeight="1" x14ac:dyDescent="0.3">
      <c r="B6" s="70" t="s">
        <v>69</v>
      </c>
      <c r="C6" s="41" t="s">
        <v>43</v>
      </c>
      <c r="D6" s="38">
        <v>1.84E-5</v>
      </c>
      <c r="E6" s="56"/>
      <c r="H6">
        <v>2</v>
      </c>
    </row>
    <row r="7" spans="2:10" x14ac:dyDescent="0.3">
      <c r="B7" s="71"/>
      <c r="C7" s="42" t="s">
        <v>44</v>
      </c>
      <c r="D7" s="39">
        <v>17</v>
      </c>
      <c r="E7" s="57"/>
    </row>
    <row r="8" spans="2:10" ht="15" thickBot="1" x14ac:dyDescent="0.35">
      <c r="B8" s="72"/>
      <c r="C8" s="43" t="s">
        <v>45</v>
      </c>
      <c r="D8" s="40">
        <v>1.1000000000000001</v>
      </c>
      <c r="E8" s="58"/>
      <c r="J8" t="s">
        <v>76</v>
      </c>
    </row>
    <row r="9" spans="2:10" x14ac:dyDescent="0.3">
      <c r="B9" s="37"/>
      <c r="C9" s="1"/>
      <c r="D9" s="1"/>
      <c r="E9" s="1"/>
    </row>
    <row r="10" spans="2:10" ht="15" thickBot="1" x14ac:dyDescent="0.35"/>
    <row r="11" spans="2:10" ht="15" thickBot="1" x14ac:dyDescent="0.35">
      <c r="D11" s="59" t="s">
        <v>93</v>
      </c>
      <c r="E11" s="60" t="s">
        <v>91</v>
      </c>
      <c r="F11" s="61" t="s">
        <v>92</v>
      </c>
    </row>
    <row r="12" spans="2:10" ht="28.8" x14ac:dyDescent="0.3">
      <c r="C12" s="49" t="s">
        <v>66</v>
      </c>
      <c r="D12" s="22">
        <f>E12*2</f>
        <v>1E-3</v>
      </c>
      <c r="E12">
        <v>5.0000000000000001E-4</v>
      </c>
      <c r="F12" s="33">
        <f>E12/$H$6</f>
        <v>2.5000000000000001E-4</v>
      </c>
    </row>
    <row r="13" spans="2:10" ht="15" thickBot="1" x14ac:dyDescent="0.35">
      <c r="C13" s="64" t="s">
        <v>67</v>
      </c>
      <c r="D13" s="22">
        <f>D12/SQRT(2)</f>
        <v>7.0710678118654751E-4</v>
      </c>
      <c r="E13">
        <f>E12/SQRT(2)</f>
        <v>3.5355339059327376E-4</v>
      </c>
      <c r="F13" s="33">
        <f>F12/SQRT(2)</f>
        <v>1.7677669529663688E-4</v>
      </c>
    </row>
    <row r="14" spans="2:10" hidden="1" x14ac:dyDescent="0.3">
      <c r="B14" s="73" t="s">
        <v>41</v>
      </c>
      <c r="C14" s="13" t="s">
        <v>29</v>
      </c>
      <c r="D14" s="22">
        <v>9.4425700000000001E-2</v>
      </c>
      <c r="E14">
        <v>3983051</v>
      </c>
      <c r="F14" s="33"/>
    </row>
    <row r="15" spans="2:10" hidden="1" x14ac:dyDescent="0.3">
      <c r="B15" s="73"/>
      <c r="C15" s="65" t="s">
        <v>30</v>
      </c>
      <c r="D15" s="22">
        <v>3.3146399999999998</v>
      </c>
      <c r="E15">
        <v>1186948</v>
      </c>
      <c r="F15" s="33"/>
    </row>
    <row r="16" spans="2:10" hidden="1" x14ac:dyDescent="0.3">
      <c r="B16" s="73"/>
      <c r="C16" s="65" t="s">
        <v>31</v>
      </c>
      <c r="D16" s="22">
        <v>55.232199999999999</v>
      </c>
      <c r="E16">
        <v>2.53729</v>
      </c>
      <c r="F16" s="33"/>
      <c r="G16">
        <v>1E-3</v>
      </c>
    </row>
    <row r="17" spans="2:10" hidden="1" x14ac:dyDescent="0.3">
      <c r="B17" s="73"/>
      <c r="C17" s="65" t="s">
        <v>33</v>
      </c>
      <c r="D17" s="22">
        <v>1.0436099999999999</v>
      </c>
      <c r="E17">
        <v>0.698183</v>
      </c>
      <c r="F17" s="33"/>
      <c r="G17">
        <v>7.07107E-4</v>
      </c>
    </row>
    <row r="18" spans="2:10" hidden="1" x14ac:dyDescent="0.3">
      <c r="B18" s="73"/>
      <c r="C18" s="65" t="s">
        <v>34</v>
      </c>
      <c r="D18" s="22">
        <v>0.48007899999999998</v>
      </c>
      <c r="E18">
        <v>14804.8</v>
      </c>
      <c r="F18" s="33"/>
    </row>
    <row r="19" spans="2:10" hidden="1" x14ac:dyDescent="0.3">
      <c r="B19" s="73"/>
      <c r="C19" s="65" t="s">
        <v>36</v>
      </c>
      <c r="D19" s="22">
        <v>1.38548</v>
      </c>
      <c r="E19">
        <v>16203.7</v>
      </c>
      <c r="F19" s="33"/>
    </row>
    <row r="20" spans="2:10" hidden="1" x14ac:dyDescent="0.3">
      <c r="B20" s="73"/>
      <c r="C20" s="65" t="s">
        <v>37</v>
      </c>
      <c r="D20" s="22">
        <v>15500</v>
      </c>
      <c r="E20">
        <v>1.9118900000000001</v>
      </c>
      <c r="F20" s="33"/>
    </row>
    <row r="21" spans="2:10" hidden="1" x14ac:dyDescent="0.3">
      <c r="B21" s="73"/>
      <c r="C21" s="65" t="s">
        <v>38</v>
      </c>
      <c r="D21" s="22">
        <v>16076.4</v>
      </c>
      <c r="E21">
        <v>424.65899999999999</v>
      </c>
      <c r="F21" s="33"/>
    </row>
    <row r="22" spans="2:10" ht="15" hidden="1" thickBot="1" x14ac:dyDescent="0.35">
      <c r="B22" s="73"/>
      <c r="C22" s="14" t="s">
        <v>39</v>
      </c>
      <c r="D22" s="22">
        <v>749820</v>
      </c>
      <c r="E22">
        <v>7.6972500000000004</v>
      </c>
      <c r="F22" s="33"/>
    </row>
    <row r="23" spans="2:10" hidden="1" x14ac:dyDescent="0.3">
      <c r="B23" s="73"/>
      <c r="C23" s="64" t="s">
        <v>65</v>
      </c>
      <c r="D23" s="22">
        <v>232893</v>
      </c>
      <c r="E23">
        <v>0.133912</v>
      </c>
      <c r="F23" s="33"/>
    </row>
    <row r="24" spans="2:10" x14ac:dyDescent="0.3">
      <c r="B24" s="74" t="s">
        <v>41</v>
      </c>
      <c r="C24" s="66" t="s">
        <v>39</v>
      </c>
      <c r="D24" s="62">
        <v>749820</v>
      </c>
      <c r="E24">
        <v>3983051</v>
      </c>
      <c r="F24" s="33">
        <v>22781658</v>
      </c>
    </row>
    <row r="25" spans="2:10" x14ac:dyDescent="0.3">
      <c r="B25" s="75"/>
      <c r="C25" s="66" t="s">
        <v>94</v>
      </c>
      <c r="D25" s="85">
        <v>232893</v>
      </c>
      <c r="E25" s="86">
        <v>1186948</v>
      </c>
      <c r="F25" s="87">
        <v>6098820</v>
      </c>
    </row>
    <row r="26" spans="2:10" x14ac:dyDescent="0.3">
      <c r="B26" s="75"/>
      <c r="C26" s="66" t="s">
        <v>95</v>
      </c>
      <c r="D26" s="85">
        <v>2.45723</v>
      </c>
      <c r="E26" s="86">
        <v>2.53729</v>
      </c>
      <c r="F26" s="87">
        <v>2.5570499999999998</v>
      </c>
      <c r="G26" t="s">
        <v>35</v>
      </c>
    </row>
    <row r="27" spans="2:10" x14ac:dyDescent="0.3">
      <c r="B27" s="75"/>
      <c r="C27" s="66" t="s">
        <v>96</v>
      </c>
      <c r="D27" s="62">
        <v>0.68171199999999998</v>
      </c>
      <c r="E27">
        <v>0.698183</v>
      </c>
      <c r="F27" s="33">
        <v>0.70347499999999996</v>
      </c>
      <c r="G27" t="s">
        <v>35</v>
      </c>
    </row>
    <row r="28" spans="2:10" x14ac:dyDescent="0.3">
      <c r="B28" s="75"/>
      <c r="C28" s="66" t="s">
        <v>97</v>
      </c>
      <c r="D28" s="62">
        <v>14828</v>
      </c>
      <c r="E28">
        <v>14804.8</v>
      </c>
      <c r="F28" s="33">
        <v>14810</v>
      </c>
      <c r="G28" t="s">
        <v>32</v>
      </c>
    </row>
    <row r="29" spans="2:10" x14ac:dyDescent="0.3">
      <c r="B29" s="75"/>
      <c r="C29" s="66" t="s">
        <v>98</v>
      </c>
      <c r="D29" s="62">
        <v>16384.8</v>
      </c>
      <c r="E29">
        <v>16203.7</v>
      </c>
      <c r="F29" s="33">
        <v>16217.8</v>
      </c>
      <c r="G29" t="s">
        <v>32</v>
      </c>
    </row>
    <row r="30" spans="2:10" x14ac:dyDescent="0.3">
      <c r="B30" s="75"/>
      <c r="C30" s="66" t="s">
        <v>99</v>
      </c>
      <c r="D30" s="62">
        <v>2.1723300000000001</v>
      </c>
      <c r="E30">
        <v>1.9118900000000001</v>
      </c>
      <c r="F30" s="33">
        <v>2.6019999999999999</v>
      </c>
      <c r="G30" t="s">
        <v>32</v>
      </c>
    </row>
    <row r="31" spans="2:10" x14ac:dyDescent="0.3">
      <c r="B31" s="75"/>
      <c r="C31" s="66" t="s">
        <v>100</v>
      </c>
      <c r="D31" s="62">
        <v>403.89299999999997</v>
      </c>
      <c r="E31">
        <v>424.65899999999999</v>
      </c>
      <c r="F31" s="33">
        <v>548.19600000000003</v>
      </c>
      <c r="G31" t="s">
        <v>32</v>
      </c>
    </row>
    <row r="32" spans="2:10" x14ac:dyDescent="0.3">
      <c r="B32" s="75"/>
      <c r="C32" s="66" t="s">
        <v>101</v>
      </c>
      <c r="D32" s="62">
        <v>13.2491</v>
      </c>
      <c r="E32">
        <v>7.6972500000000004</v>
      </c>
      <c r="F32" s="33">
        <v>5.8077699999999997</v>
      </c>
      <c r="J32" t="s">
        <v>87</v>
      </c>
    </row>
    <row r="33" spans="2:6" x14ac:dyDescent="0.3">
      <c r="B33" s="75"/>
      <c r="C33" s="66" t="s">
        <v>102</v>
      </c>
      <c r="D33" s="62">
        <v>0.25554399999999999</v>
      </c>
      <c r="E33">
        <v>0.133912</v>
      </c>
      <c r="F33" s="33">
        <v>0.179148</v>
      </c>
    </row>
    <row r="34" spans="2:6" ht="15" thickBot="1" x14ac:dyDescent="0.35">
      <c r="B34" s="68"/>
      <c r="C34" s="67" t="s">
        <v>107</v>
      </c>
      <c r="D34" s="63"/>
      <c r="E34" s="34" t="s">
        <v>105</v>
      </c>
      <c r="F34" s="35" t="s">
        <v>106</v>
      </c>
    </row>
    <row r="35" spans="2:6" ht="15" thickBot="1" x14ac:dyDescent="0.35"/>
    <row r="36" spans="2:6" ht="15" thickBot="1" x14ac:dyDescent="0.35">
      <c r="C36" s="50" t="s">
        <v>103</v>
      </c>
    </row>
    <row r="37" spans="2:6" x14ac:dyDescent="0.3">
      <c r="B37" s="50" t="s">
        <v>77</v>
      </c>
      <c r="C37" s="66">
        <f>F26</f>
        <v>2.5570499999999998</v>
      </c>
    </row>
    <row r="38" spans="2:6" x14ac:dyDescent="0.3">
      <c r="B38" s="66" t="s">
        <v>78</v>
      </c>
      <c r="C38" s="66">
        <f>E26</f>
        <v>2.53729</v>
      </c>
    </row>
    <row r="39" spans="2:6" x14ac:dyDescent="0.3">
      <c r="B39" s="66" t="s">
        <v>79</v>
      </c>
      <c r="C39" s="66">
        <f>D26</f>
        <v>2.45723</v>
      </c>
    </row>
    <row r="40" spans="2:6" x14ac:dyDescent="0.3">
      <c r="B40" s="66" t="s">
        <v>75</v>
      </c>
      <c r="C40" s="66">
        <f>(LN((C39-C38)/(C38-C37)))/(LN(H6))</f>
        <v>2.0184986688028772</v>
      </c>
    </row>
    <row r="41" spans="2:6" x14ac:dyDescent="0.3">
      <c r="B41" s="64"/>
      <c r="C41" s="66"/>
    </row>
    <row r="42" spans="2:6" ht="29.4" thickBot="1" x14ac:dyDescent="0.35">
      <c r="B42" s="68" t="s">
        <v>104</v>
      </c>
      <c r="C42" s="67">
        <f>C37+((C37-C38)/((H6^C40) - 1))</f>
        <v>2.5635252504145933</v>
      </c>
    </row>
    <row r="44" spans="2:6" ht="15" thickBot="1" x14ac:dyDescent="0.35"/>
    <row r="45" spans="2:6" ht="15" thickBot="1" x14ac:dyDescent="0.35">
      <c r="C45" s="69" t="s">
        <v>108</v>
      </c>
      <c r="D45" s="31" t="s">
        <v>109</v>
      </c>
      <c r="E45" s="32" t="s">
        <v>110</v>
      </c>
    </row>
    <row r="46" spans="2:6" ht="29.4" thickBot="1" x14ac:dyDescent="0.35">
      <c r="B46" s="26" t="s">
        <v>111</v>
      </c>
      <c r="C46" s="63">
        <f>((C42-C39)/C42)*100</f>
        <v>4.1464483487105266</v>
      </c>
      <c r="D46" s="34">
        <f>((C42-C38)/C42)*100</f>
        <v>1.0234051882403079</v>
      </c>
      <c r="E46" s="35">
        <f>((C42-C37)/C42)*100</f>
        <v>0.25259163776702748</v>
      </c>
    </row>
    <row r="51" spans="2:5" ht="28.8" x14ac:dyDescent="0.3">
      <c r="B51" s="1" t="s">
        <v>112</v>
      </c>
      <c r="C51">
        <f>(1/D25)/(10^-6)</f>
        <v>4.2938173324230444</v>
      </c>
      <c r="D51">
        <f>(1/E25)/(10^-6)</f>
        <v>0.84249689118647153</v>
      </c>
      <c r="E51">
        <f>(1/F25)/(10^-6)</f>
        <v>0.16396614427053102</v>
      </c>
    </row>
    <row r="52" spans="2:5" x14ac:dyDescent="0.3">
      <c r="B52" s="1" t="s">
        <v>95</v>
      </c>
      <c r="C52">
        <f>D26</f>
        <v>2.45723</v>
      </c>
      <c r="D52">
        <f t="shared" ref="D52:E52" si="0">E26</f>
        <v>2.53729</v>
      </c>
      <c r="E52">
        <f t="shared" si="0"/>
        <v>2.5570499999999998</v>
      </c>
    </row>
  </sheetData>
  <mergeCells count="4">
    <mergeCell ref="B3:B5"/>
    <mergeCell ref="B6:B8"/>
    <mergeCell ref="B14:B23"/>
    <mergeCell ref="B24:B3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101ccd-42cd-48a0-9d54-2994fcb5583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52E0B2D598C34CBBC2BA140DE5D287" ma:contentTypeVersion="8" ma:contentTypeDescription="Create a new document." ma:contentTypeScope="" ma:versionID="dbecb8b3b43ba74589b0b18d21102078">
  <xsd:schema xmlns:xsd="http://www.w3.org/2001/XMLSchema" xmlns:xs="http://www.w3.org/2001/XMLSchema" xmlns:p="http://schemas.microsoft.com/office/2006/metadata/properties" xmlns:ns2="c1101ccd-42cd-48a0-9d54-2994fcb5583b" targetNamespace="http://schemas.microsoft.com/office/2006/metadata/properties" ma:root="true" ma:fieldsID="15a038ccc5bbc45a2cba33bb93f544bd" ns2:_="">
    <xsd:import namespace="c1101ccd-42cd-48a0-9d54-2994fcb558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101ccd-42cd-48a0-9d54-2994fcb558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5e9cd7a-283a-407b-9b45-84d2c2056e0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DC5044-D112-48F6-A4DD-278116D20612}">
  <ds:schemaRefs>
    <ds:schemaRef ds:uri="http://schemas.microsoft.com/office/2006/metadata/properties"/>
    <ds:schemaRef ds:uri="http://schemas.microsoft.com/office/infopath/2007/PartnerControls"/>
    <ds:schemaRef ds:uri="c1101ccd-42cd-48a0-9d54-2994fcb5583b"/>
  </ds:schemaRefs>
</ds:datastoreItem>
</file>

<file path=customXml/itemProps2.xml><?xml version="1.0" encoding="utf-8"?>
<ds:datastoreItem xmlns:ds="http://schemas.openxmlformats.org/officeDocument/2006/customXml" ds:itemID="{90058864-BC3F-48BC-A50C-158ADE2FFD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2CDC38-F54C-4767-B860-B4BA7C500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101ccd-42cd-48a0-9d54-2994fcb558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1b36e95-0d50-42e9-958f-b63fa906beaa}" enabled="0" method="" siteId="{d1b36e95-0d50-42e9-958f-b63fa906bea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y+ calculator</vt:lpstr>
      <vt:lpstr>Inflation height calculator</vt:lpstr>
      <vt:lpstr>2D Base Ref</vt:lpstr>
      <vt:lpstr>3D Mesh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Mikaela Campo</dc:creator>
  <cp:lastModifiedBy>Mikaela Campo</cp:lastModifiedBy>
  <dcterms:created xsi:type="dcterms:W3CDTF">2015-06-05T18:17:20Z</dcterms:created>
  <dcterms:modified xsi:type="dcterms:W3CDTF">2026-10-07T22:16:25Z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0x010100C952E0B2D598C34CBBC2BA140DE5D287</vt:lpwstr>
  </property>
  <property fmtid="{D5CDD505-2E9C-101B-9397-08002B2CF9AE}" pid="3" name="MediaServiceImageTags">
    <vt:lpwstr/>
  </property>
</Properties>
</file>